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74c99492dcdf213/Documents/"/>
    </mc:Choice>
  </mc:AlternateContent>
  <xr:revisionPtr revIDLastSave="0" documentId="8_{EA3FCCA9-607F-4BB7-8F73-3E77AA413A4E}" xr6:coauthVersionLast="47" xr6:coauthVersionMax="47" xr10:uidLastSave="{00000000-0000-0000-0000-000000000000}"/>
  <bookViews>
    <workbookView xWindow="-120" yWindow="-120" windowWidth="20730" windowHeight="11040" firstSheet="5" activeTab="8" xr2:uid="{00000000-000D-0000-FFFF-FFFF00000000}"/>
  </bookViews>
  <sheets>
    <sheet name="category sales" sheetId="3" r:id="rId1"/>
    <sheet name="city sales" sheetId="5" r:id="rId2"/>
    <sheet name="product sales" sheetId="6" r:id="rId3"/>
    <sheet name="monthly sales" sheetId="7" r:id="rId4"/>
    <sheet name="Detail1" sheetId="9" r:id="rId5"/>
    <sheet name="payment details" sheetId="8" r:id="rId6"/>
    <sheet name="sum of profit" sheetId="10" r:id="rId7"/>
    <sheet name="Raw_Data" sheetId="1" r:id="rId8"/>
    <sheet name="dash_board" sheetId="12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2" l="1"/>
  <c r="B5" i="1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</calcChain>
</file>

<file path=xl/sharedStrings.xml><?xml version="1.0" encoding="utf-8"?>
<sst xmlns="http://schemas.openxmlformats.org/spreadsheetml/2006/main" count="3685" uniqueCount="732">
  <si>
    <t>Order_ID</t>
  </si>
  <si>
    <t>Order_Date</t>
  </si>
  <si>
    <t>Customer_ID</t>
  </si>
  <si>
    <t>City</t>
  </si>
  <si>
    <t>Category</t>
  </si>
  <si>
    <t>Product</t>
  </si>
  <si>
    <t>Quantity</t>
  </si>
  <si>
    <t>Unit_Price</t>
  </si>
  <si>
    <t>Discount_Percent</t>
  </si>
  <si>
    <t>Sales</t>
  </si>
  <si>
    <t>Cost</t>
  </si>
  <si>
    <t>Profit</t>
  </si>
  <si>
    <t>Payment_Method</t>
  </si>
  <si>
    <t>ORD00001</t>
  </si>
  <si>
    <t>CUST0140</t>
  </si>
  <si>
    <t>Mumbai</t>
  </si>
  <si>
    <t>Electronics</t>
  </si>
  <si>
    <t>Laptop</t>
  </si>
  <si>
    <t>Net Banking</t>
  </si>
  <si>
    <t>ORD00002</t>
  </si>
  <si>
    <t>CUST0007</t>
  </si>
  <si>
    <t>Lucknow</t>
  </si>
  <si>
    <t>Beauty</t>
  </si>
  <si>
    <t>Face Wash</t>
  </si>
  <si>
    <t>Credit Card</t>
  </si>
  <si>
    <t>ORD00003</t>
  </si>
  <si>
    <t>CUST0041</t>
  </si>
  <si>
    <t>Pune</t>
  </si>
  <si>
    <t>Books</t>
  </si>
  <si>
    <t>Children Book</t>
  </si>
  <si>
    <t>Debit Card</t>
  </si>
  <si>
    <t>ORD00004</t>
  </si>
  <si>
    <t>CUST0092</t>
  </si>
  <si>
    <t>Kolkata</t>
  </si>
  <si>
    <t>Fashion</t>
  </si>
  <si>
    <t>Jeans</t>
  </si>
  <si>
    <t>ORD00005</t>
  </si>
  <si>
    <t>CUST0021</t>
  </si>
  <si>
    <t>T-Shirt</t>
  </si>
  <si>
    <t>ORD00006</t>
  </si>
  <si>
    <t>CUST0075</t>
  </si>
  <si>
    <t>Technical Book</t>
  </si>
  <si>
    <t>ORD00007</t>
  </si>
  <si>
    <t>CUST0054</t>
  </si>
  <si>
    <t>Chennai</t>
  </si>
  <si>
    <t>Smartwatch</t>
  </si>
  <si>
    <t>UPI</t>
  </si>
  <si>
    <t>ORD00008</t>
  </si>
  <si>
    <t>CUST0070</t>
  </si>
  <si>
    <t>Self Help Book</t>
  </si>
  <si>
    <t>ORD00009</t>
  </si>
  <si>
    <t>CUST0055</t>
  </si>
  <si>
    <t>Ghaziabad</t>
  </si>
  <si>
    <t>ORD00010</t>
  </si>
  <si>
    <t>CUST0064</t>
  </si>
  <si>
    <t>Home &amp; Kitchen</t>
  </si>
  <si>
    <t>Vacuum Cleaner</t>
  </si>
  <si>
    <t>ORD00011</t>
  </si>
  <si>
    <t>CUST0131</t>
  </si>
  <si>
    <t>Jaipur</t>
  </si>
  <si>
    <t>Handbag</t>
  </si>
  <si>
    <t>ORD00012</t>
  </si>
  <si>
    <t>CUST0098</t>
  </si>
  <si>
    <t>Cash on Delivery</t>
  </si>
  <si>
    <t>ORD00013</t>
  </si>
  <si>
    <t>CUST0069</t>
  </si>
  <si>
    <t>ORD00014</t>
  </si>
  <si>
    <t>CUST0129</t>
  </si>
  <si>
    <t>Bengaluru</t>
  </si>
  <si>
    <t>Jacket</t>
  </si>
  <si>
    <t>ORD00015</t>
  </si>
  <si>
    <t>CUST0139</t>
  </si>
  <si>
    <t>Headphones</t>
  </si>
  <si>
    <t>ORD00016</t>
  </si>
  <si>
    <t>CUST0062</t>
  </si>
  <si>
    <t>Delhi</t>
  </si>
  <si>
    <t>ORD00017</t>
  </si>
  <si>
    <t>CUST0033</t>
  </si>
  <si>
    <t>Novel</t>
  </si>
  <si>
    <t>ORD00018</t>
  </si>
  <si>
    <t>Hyderabad</t>
  </si>
  <si>
    <t>ORD00019</t>
  </si>
  <si>
    <t>CUST0017</t>
  </si>
  <si>
    <t>Shampoo</t>
  </si>
  <si>
    <t>ORD00020</t>
  </si>
  <si>
    <t>CUST0016</t>
  </si>
  <si>
    <t>Exam Guide</t>
  </si>
  <si>
    <t>ORD00021</t>
  </si>
  <si>
    <t>ORD00022</t>
  </si>
  <si>
    <t>CUST0025</t>
  </si>
  <si>
    <t>ORD00023</t>
  </si>
  <si>
    <t>CUST0026</t>
  </si>
  <si>
    <t>ORD00024</t>
  </si>
  <si>
    <t>CUST0109</t>
  </si>
  <si>
    <t>ORD00025</t>
  </si>
  <si>
    <t>Moisturizer</t>
  </si>
  <si>
    <t>ORD00026</t>
  </si>
  <si>
    <t>Air Fryer</t>
  </si>
  <si>
    <t>ORD00027</t>
  </si>
  <si>
    <t>CUST0125</t>
  </si>
  <si>
    <t>ORD00028</t>
  </si>
  <si>
    <t>CUST0015</t>
  </si>
  <si>
    <t>ORD00029</t>
  </si>
  <si>
    <t>CUST0048</t>
  </si>
  <si>
    <t>Sunscreen</t>
  </si>
  <si>
    <t>ORD00030</t>
  </si>
  <si>
    <t>CUST0011</t>
  </si>
  <si>
    <t>Smartphone</t>
  </si>
  <si>
    <t>ORD00031</t>
  </si>
  <si>
    <t>CUST0081</t>
  </si>
  <si>
    <t>ORD00032</t>
  </si>
  <si>
    <t>CUST0003</t>
  </si>
  <si>
    <t>ORD00033</t>
  </si>
  <si>
    <t>CUST0090</t>
  </si>
  <si>
    <t>ORD00034</t>
  </si>
  <si>
    <t>CUST0136</t>
  </si>
  <si>
    <t>Sneakers</t>
  </si>
  <si>
    <t>ORD00035</t>
  </si>
  <si>
    <t>CUST0040</t>
  </si>
  <si>
    <t>ORD00036</t>
  </si>
  <si>
    <t>CUST0014</t>
  </si>
  <si>
    <t>ORD00037</t>
  </si>
  <si>
    <t>CUST0042</t>
  </si>
  <si>
    <t>ORD00038</t>
  </si>
  <si>
    <t>CUST0039</t>
  </si>
  <si>
    <t>ORD00039</t>
  </si>
  <si>
    <t>CUST0094</t>
  </si>
  <si>
    <t>ORD00040</t>
  </si>
  <si>
    <t>ORD00041</t>
  </si>
  <si>
    <t>ORD00042</t>
  </si>
  <si>
    <t>ORD00043</t>
  </si>
  <si>
    <t>CUST0072</t>
  </si>
  <si>
    <t>Mixer Grinder</t>
  </si>
  <si>
    <t>ORD00044</t>
  </si>
  <si>
    <t>CUST0046</t>
  </si>
  <si>
    <t>ORD00045</t>
  </si>
  <si>
    <t>CUST0112</t>
  </si>
  <si>
    <t>ORD00046</t>
  </si>
  <si>
    <t>CUST0001</t>
  </si>
  <si>
    <t>ORD00047</t>
  </si>
  <si>
    <t>CUST0032</t>
  </si>
  <si>
    <t>Cookware Set</t>
  </si>
  <si>
    <t>ORD00048</t>
  </si>
  <si>
    <t>CUST0108</t>
  </si>
  <si>
    <t>ORD00049</t>
  </si>
  <si>
    <t>CUST0074</t>
  </si>
  <si>
    <t>ORD00050</t>
  </si>
  <si>
    <t>ORD00051</t>
  </si>
  <si>
    <t>CUST0080</t>
  </si>
  <si>
    <t>ORD00052</t>
  </si>
  <si>
    <t>CUST0117</t>
  </si>
  <si>
    <t>ORD00053</t>
  </si>
  <si>
    <t>CUST0002</t>
  </si>
  <si>
    <t>ORD00054</t>
  </si>
  <si>
    <t>ORD00055</t>
  </si>
  <si>
    <t>CUST0110</t>
  </si>
  <si>
    <t>ORD00056</t>
  </si>
  <si>
    <t>CUST0134</t>
  </si>
  <si>
    <t>ORD00057</t>
  </si>
  <si>
    <t>ORD00058</t>
  </si>
  <si>
    <t>CUST0107</t>
  </si>
  <si>
    <t>ORD00059</t>
  </si>
  <si>
    <t>CUST0150</t>
  </si>
  <si>
    <t>ORD00060</t>
  </si>
  <si>
    <t>CUST0138</t>
  </si>
  <si>
    <t>Perfume</t>
  </si>
  <si>
    <t>ORD00061</t>
  </si>
  <si>
    <t>CUST0087</t>
  </si>
  <si>
    <t>ORD00062</t>
  </si>
  <si>
    <t>CUST0145</t>
  </si>
  <si>
    <t>ORD00063</t>
  </si>
  <si>
    <t>ORD00064</t>
  </si>
  <si>
    <t>CUST0005</t>
  </si>
  <si>
    <t>ORD00065</t>
  </si>
  <si>
    <t>CUST0052</t>
  </si>
  <si>
    <t>ORD00066</t>
  </si>
  <si>
    <t>CUST0120</t>
  </si>
  <si>
    <t>ORD00067</t>
  </si>
  <si>
    <t>CUST0149</t>
  </si>
  <si>
    <t>Coffee Maker</t>
  </si>
  <si>
    <t>ORD00068</t>
  </si>
  <si>
    <t>CUST0063</t>
  </si>
  <si>
    <t>ORD00069</t>
  </si>
  <si>
    <t>CUST0095</t>
  </si>
  <si>
    <t>ORD00070</t>
  </si>
  <si>
    <t>CUST0118</t>
  </si>
  <si>
    <t>ORD00071</t>
  </si>
  <si>
    <t>ORD00072</t>
  </si>
  <si>
    <t>CUST0146</t>
  </si>
  <si>
    <t>ORD00073</t>
  </si>
  <si>
    <t>CUST0067</t>
  </si>
  <si>
    <t>ORD00074</t>
  </si>
  <si>
    <t>ORD00075</t>
  </si>
  <si>
    <t>CUST0024</t>
  </si>
  <si>
    <t>ORD00076</t>
  </si>
  <si>
    <t>ORD00077</t>
  </si>
  <si>
    <t>CUST0060</t>
  </si>
  <si>
    <t>ORD00078</t>
  </si>
  <si>
    <t>CUST0071</t>
  </si>
  <si>
    <t>ORD00079</t>
  </si>
  <si>
    <t>CUST0078</t>
  </si>
  <si>
    <t>ORD00080</t>
  </si>
  <si>
    <t>CUST0126</t>
  </si>
  <si>
    <t>ORD00081</t>
  </si>
  <si>
    <t>CUST0065</t>
  </si>
  <si>
    <t>ORD00082</t>
  </si>
  <si>
    <t>ORD00083</t>
  </si>
  <si>
    <t>CUST0058</t>
  </si>
  <si>
    <t>ORD00084</t>
  </si>
  <si>
    <t>ORD00085</t>
  </si>
  <si>
    <t>CUST0142</t>
  </si>
  <si>
    <t>ORD00086</t>
  </si>
  <si>
    <t>CUST0073</t>
  </si>
  <si>
    <t>ORD00087</t>
  </si>
  <si>
    <t>ORD00088</t>
  </si>
  <si>
    <t>ORD00089</t>
  </si>
  <si>
    <t>ORD00090</t>
  </si>
  <si>
    <t>CUST0148</t>
  </si>
  <si>
    <t>ORD00091</t>
  </si>
  <si>
    <t>ORD00092</t>
  </si>
  <si>
    <t>CUST0027</t>
  </si>
  <si>
    <t>ORD00093</t>
  </si>
  <si>
    <t>CUST0010</t>
  </si>
  <si>
    <t>ORD00094</t>
  </si>
  <si>
    <t>ORD00095</t>
  </si>
  <si>
    <t>CUST0114</t>
  </si>
  <si>
    <t>ORD00096</t>
  </si>
  <si>
    <t>ORD00097</t>
  </si>
  <si>
    <t>ORD00098</t>
  </si>
  <si>
    <t>CUST0124</t>
  </si>
  <si>
    <t>ORD00099</t>
  </si>
  <si>
    <t>CUST0035</t>
  </si>
  <si>
    <t>ORD00100</t>
  </si>
  <si>
    <t>ORD00101</t>
  </si>
  <si>
    <t>CUST0097</t>
  </si>
  <si>
    <t>ORD00102</t>
  </si>
  <si>
    <t>CUST0012</t>
  </si>
  <si>
    <t>ORD00103</t>
  </si>
  <si>
    <t>CUST0085</t>
  </si>
  <si>
    <t>ORD00104</t>
  </si>
  <si>
    <t>Tablet</t>
  </si>
  <si>
    <t>ORD00105</t>
  </si>
  <si>
    <t>CUST0137</t>
  </si>
  <si>
    <t>ORD00106</t>
  </si>
  <si>
    <t>ORD00107</t>
  </si>
  <si>
    <t>ORD00108</t>
  </si>
  <si>
    <t>ORD00109</t>
  </si>
  <si>
    <t>ORD00110</t>
  </si>
  <si>
    <t>ORD00111</t>
  </si>
  <si>
    <t>ORD00112</t>
  </si>
  <si>
    <t>CUST0076</t>
  </si>
  <si>
    <t>ORD00113</t>
  </si>
  <si>
    <t>CUST0059</t>
  </si>
  <si>
    <t>ORD00114</t>
  </si>
  <si>
    <t>ORD00115</t>
  </si>
  <si>
    <t>ORD00116</t>
  </si>
  <si>
    <t>CUST0066</t>
  </si>
  <si>
    <t>ORD00117</t>
  </si>
  <si>
    <t>CUST0102</t>
  </si>
  <si>
    <t>ORD00118</t>
  </si>
  <si>
    <t>CUST0068</t>
  </si>
  <si>
    <t>ORD00119</t>
  </si>
  <si>
    <t>CUST0084</t>
  </si>
  <si>
    <t>ORD00120</t>
  </si>
  <si>
    <t>ORD00121</t>
  </si>
  <si>
    <t>ORD00122</t>
  </si>
  <si>
    <t>CUST0009</t>
  </si>
  <si>
    <t>ORD00123</t>
  </si>
  <si>
    <t>ORD00124</t>
  </si>
  <si>
    <t>CUST0006</t>
  </si>
  <si>
    <t>ORD00125</t>
  </si>
  <si>
    <t>ORD00126</t>
  </si>
  <si>
    <t>CUST0034</t>
  </si>
  <si>
    <t>ORD00127</t>
  </si>
  <si>
    <t>CUST0083</t>
  </si>
  <si>
    <t>ORD00128</t>
  </si>
  <si>
    <t>CUST0122</t>
  </si>
  <si>
    <t>ORD00129</t>
  </si>
  <si>
    <t>ORD00130</t>
  </si>
  <si>
    <t>ORD00131</t>
  </si>
  <si>
    <t>ORD00132</t>
  </si>
  <si>
    <t>ORD00133</t>
  </si>
  <si>
    <t>CUST0103</t>
  </si>
  <si>
    <t>ORD00134</t>
  </si>
  <si>
    <t>ORD00135</t>
  </si>
  <si>
    <t>ORD00136</t>
  </si>
  <si>
    <t>ORD00137</t>
  </si>
  <si>
    <t>ORD00138</t>
  </si>
  <si>
    <t>CUST0144</t>
  </si>
  <si>
    <t>ORD00139</t>
  </si>
  <si>
    <t>ORD00140</t>
  </si>
  <si>
    <t>CUST0008</t>
  </si>
  <si>
    <t>ORD00141</t>
  </si>
  <si>
    <t>ORD00142</t>
  </si>
  <si>
    <t>ORD00143</t>
  </si>
  <si>
    <t>CUST0030</t>
  </si>
  <si>
    <t>ORD00144</t>
  </si>
  <si>
    <t>CUST0057</t>
  </si>
  <si>
    <t>ORD00145</t>
  </si>
  <si>
    <t>ORD00146</t>
  </si>
  <si>
    <t>ORD00147</t>
  </si>
  <si>
    <t>ORD00148</t>
  </si>
  <si>
    <t>CUST0044</t>
  </si>
  <si>
    <t>ORD00149</t>
  </si>
  <si>
    <t>CUST0135</t>
  </si>
  <si>
    <t>ORD00150</t>
  </si>
  <si>
    <t>ORD00151</t>
  </si>
  <si>
    <t>ORD00152</t>
  </si>
  <si>
    <t>ORD00153</t>
  </si>
  <si>
    <t>ORD00154</t>
  </si>
  <si>
    <t>ORD00155</t>
  </si>
  <si>
    <t>ORD00156</t>
  </si>
  <si>
    <t>CUST0116</t>
  </si>
  <si>
    <t>ORD00157</t>
  </si>
  <si>
    <t>ORD00158</t>
  </si>
  <si>
    <t>ORD00159</t>
  </si>
  <si>
    <t>ORD00160</t>
  </si>
  <si>
    <t>CUST0022</t>
  </si>
  <si>
    <t>ORD00161</t>
  </si>
  <si>
    <t>ORD00162</t>
  </si>
  <si>
    <t>CUST0050</t>
  </si>
  <si>
    <t>ORD00163</t>
  </si>
  <si>
    <t>ORD00164</t>
  </si>
  <si>
    <t>CUST0043</t>
  </si>
  <si>
    <t>ORD00165</t>
  </si>
  <si>
    <t>ORD00166</t>
  </si>
  <si>
    <t>ORD00167</t>
  </si>
  <si>
    <t>ORD00168</t>
  </si>
  <si>
    <t>ORD00169</t>
  </si>
  <si>
    <t>ORD00170</t>
  </si>
  <si>
    <t>CUST0082</t>
  </si>
  <si>
    <t>ORD00171</t>
  </si>
  <si>
    <t>CUST0121</t>
  </si>
  <si>
    <t>ORD00172</t>
  </si>
  <si>
    <t>ORD00173</t>
  </si>
  <si>
    <t>ORD00174</t>
  </si>
  <si>
    <t>ORD00175</t>
  </si>
  <si>
    <t>ORD00176</t>
  </si>
  <si>
    <t>ORD00177</t>
  </si>
  <si>
    <t>ORD00178</t>
  </si>
  <si>
    <t>CUST0119</t>
  </si>
  <si>
    <t>ORD00179</t>
  </si>
  <si>
    <t>ORD00180</t>
  </si>
  <si>
    <t>CUST0049</t>
  </si>
  <si>
    <t>ORD00181</t>
  </si>
  <si>
    <t>CUST0113</t>
  </si>
  <si>
    <t>ORD00182</t>
  </si>
  <si>
    <t>ORD00183</t>
  </si>
  <si>
    <t>ORD00184</t>
  </si>
  <si>
    <t>CUST0091</t>
  </si>
  <si>
    <t>ORD00185</t>
  </si>
  <si>
    <t>ORD00186</t>
  </si>
  <si>
    <t>ORD00187</t>
  </si>
  <si>
    <t>ORD00188</t>
  </si>
  <si>
    <t>ORD00189</t>
  </si>
  <si>
    <t>CUST0115</t>
  </si>
  <si>
    <t>ORD00190</t>
  </si>
  <si>
    <t>CUST0045</t>
  </si>
  <si>
    <t>ORD00191</t>
  </si>
  <si>
    <t>ORD00192</t>
  </si>
  <si>
    <t>ORD00193</t>
  </si>
  <si>
    <t>ORD00194</t>
  </si>
  <si>
    <t>ORD00195</t>
  </si>
  <si>
    <t>CUST0047</t>
  </si>
  <si>
    <t>ORD00196</t>
  </si>
  <si>
    <t>ORD00197</t>
  </si>
  <si>
    <t>ORD00198</t>
  </si>
  <si>
    <t>ORD00199</t>
  </si>
  <si>
    <t>ORD00200</t>
  </si>
  <si>
    <t>ORD00201</t>
  </si>
  <si>
    <t>ORD00202</t>
  </si>
  <si>
    <t>CUST0089</t>
  </si>
  <si>
    <t>ORD00203</t>
  </si>
  <si>
    <t>ORD00204</t>
  </si>
  <si>
    <t>ORD00205</t>
  </si>
  <si>
    <t>ORD00206</t>
  </si>
  <si>
    <t>CUST0056</t>
  </si>
  <si>
    <t>ORD00207</t>
  </si>
  <si>
    <t>ORD00208</t>
  </si>
  <si>
    <t>ORD00209</t>
  </si>
  <si>
    <t>CUST0099</t>
  </si>
  <si>
    <t>ORD00210</t>
  </si>
  <si>
    <t>CUST0101</t>
  </si>
  <si>
    <t>ORD00211</t>
  </si>
  <si>
    <t>ORD00212</t>
  </si>
  <si>
    <t>CUST0036</t>
  </si>
  <si>
    <t>ORD00213</t>
  </si>
  <si>
    <t>ORD00214</t>
  </si>
  <si>
    <t>ORD00215</t>
  </si>
  <si>
    <t>ORD00216</t>
  </si>
  <si>
    <t>CUST0029</t>
  </si>
  <si>
    <t>ORD00217</t>
  </si>
  <si>
    <t>ORD00218</t>
  </si>
  <si>
    <t>CUST0123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</si>
  <si>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</si>
  <si>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</si>
  <si>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</si>
  <si>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</si>
  <si>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</si>
  <si>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</si>
  <si>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</si>
  <si>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</si>
  <si>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</si>
  <si>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</si>
  <si>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CUST0077</t>
  </si>
  <si>
    <t>ORD00229</t>
  </si>
  <si>
    <t>CUST0130</t>
  </si>
  <si>
    <t>ORD00230</t>
  </si>
  <si>
    <t>CUST0004</t>
  </si>
  <si>
    <t>ORD00231</t>
  </si>
  <si>
    <t>ORD00232</t>
  </si>
  <si>
    <t>ORD00233</t>
  </si>
  <si>
    <t>ORD00234</t>
  </si>
  <si>
    <t>ORD00235</t>
  </si>
  <si>
    <t>CUST0096</t>
  </si>
  <si>
    <t>ORD00236</t>
  </si>
  <si>
    <t>ORD00237</t>
  </si>
  <si>
    <t>ORD00238</t>
  </si>
  <si>
    <t>CUST0053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</si>
  <si>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</si>
  <si>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</si>
  <si>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</si>
  <si>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</si>
  <si>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</si>
  <si>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</si>
  <si>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</si>
  <si>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</si>
  <si>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CUST0013</t>
  </si>
  <si>
    <t>ORD00247</t>
  </si>
  <si>
    <t>ORD00248</t>
  </si>
  <si>
    <t>CUST0061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</si>
  <si>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</si>
  <si>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</si>
  <si>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</si>
  <si>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</si>
  <si>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</si>
  <si>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</si>
  <si>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</si>
  <si>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</si>
  <si>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</si>
  <si>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</si>
  <si>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</si>
  <si>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</si>
  <si>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</si>
  <si>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</si>
  <si>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CUST0018</t>
  </si>
  <si>
    <t>ORD00263</t>
  </si>
  <si>
    <t>ORD00264</t>
  </si>
  <si>
    <t>ORD00265</t>
  </si>
  <si>
    <t>ORD00266</t>
  </si>
  <si>
    <t>ORD00267</t>
  </si>
  <si>
    <t>ORD00268</t>
  </si>
  <si>
    <t>ORD00269</t>
  </si>
  <si>
    <t>CUST0020</t>
  </si>
  <si>
    <t>ORD00270</t>
  </si>
  <si>
    <t>CUST0037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</si>
  <si>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</si>
  <si>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</si>
  <si>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</si>
  <si>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</si>
  <si>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</si>
  <si>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</si>
  <si>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</si>
  <si>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</si>
  <si>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</si>
  <si>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</si>
  <si>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</si>
  <si>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</si>
  <si>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</si>
  <si>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</si>
  <si>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</si>
  <si>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</si>
  <si>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CUST0105</t>
  </si>
  <si>
    <t>ORD00287</t>
  </si>
  <si>
    <t>CUST0019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</si>
  <si>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</si>
  <si>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</si>
  <si>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</si>
  <si>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</si>
  <si>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</si>
  <si>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</si>
  <si>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</si>
  <si>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</si>
  <si>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</si>
  <si>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CUST0051</t>
  </si>
  <si>
    <t>ORD00297</t>
  </si>
  <si>
    <t>ORD00298</t>
  </si>
  <si>
    <t>ORD00299</t>
  </si>
  <si>
    <t>ORD00300</t>
  </si>
  <si>
    <t>CUST0079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</si>
  <si>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</si>
  <si>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</si>
  <si>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</si>
  <si>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</si>
  <si>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</si>
  <si>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</si>
  <si>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</si>
  <si>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</si>
  <si>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</si>
  <si>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</si>
  <si>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CUST0132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</si>
  <si>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</si>
  <si>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</si>
  <si>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</si>
  <si>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</si>
  <si>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</si>
  <si>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</si>
  <si>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</si>
  <si>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</si>
  <si>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</si>
  <si>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</si>
  <si>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CUST0088</t>
  </si>
  <si>
    <t>ORD00321</t>
  </si>
  <si>
    <t>ORD00322</t>
  </si>
  <si>
    <t>ORD00323</t>
  </si>
  <si>
    <t>ORD00324</t>
  </si>
  <si>
    <t>ORD00325</t>
  </si>
  <si>
    <t>ORD00326</t>
  </si>
  <si>
    <t>ORD00327</t>
  </si>
  <si>
    <t>CUST0093</t>
  </si>
  <si>
    <t>ORD00328</t>
  </si>
  <si>
    <t>ORD00329</t>
  </si>
  <si>
    <t>ORD00330</t>
  </si>
  <si>
    <t>ORD00331</t>
  </si>
  <si>
    <t>ORD00332</t>
  </si>
  <si>
    <t>ORD00333</t>
  </si>
  <si>
    <t>ORD00334</t>
  </si>
  <si>
    <t>CUST0086</t>
  </si>
  <si>
    <t>ORD00335</t>
  </si>
  <si>
    <t>ORD00336</t>
  </si>
  <si>
    <t>CUST0147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</si>
  <si>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</si>
  <si>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</si>
  <si>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</si>
  <si>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</si>
  <si>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</si>
  <si>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</si>
  <si>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</si>
  <si>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</si>
  <si>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</si>
  <si>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</si>
  <si>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</si>
  <si>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</si>
  <si>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</si>
  <si>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</si>
  <si>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CUST0143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</si>
  <si>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</si>
  <si>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</si>
  <si>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</si>
  <si>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</si>
  <si>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</si>
  <si>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</si>
  <si>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</si>
  <si>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</si>
  <si>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</si>
  <si>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</si>
  <si>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</si>
  <si>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</si>
  <si>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</si>
  <si>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</si>
  <si>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</si>
  <si>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</si>
  <si>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</si>
  <si>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</si>
  <si>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</si>
  <si>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</si>
  <si>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</si>
  <si>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</si>
  <si>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</si>
  <si>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</si>
  <si>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</si>
  <si>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</si>
  <si>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</si>
  <si>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</si>
  <si>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</si>
  <si>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</si>
  <si>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</si>
  <si>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</si>
  <si>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</si>
  <si>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CUST0038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</si>
  <si>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</si>
  <si>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</si>
  <si>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</si>
  <si>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</si>
  <si>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</si>
  <si>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</si>
  <si>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</si>
  <si>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</si>
  <si>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</si>
  <si>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</si>
  <si>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</si>
  <si>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</si>
  <si>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</si>
  <si>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</si>
  <si>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</si>
  <si>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</si>
  <si>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</si>
  <si>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CUST0028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</si>
  <si>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</si>
  <si>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</si>
  <si>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</si>
  <si>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</si>
  <si>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</si>
  <si>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</si>
  <si>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</si>
  <si>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</si>
  <si>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</si>
  <si>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</si>
  <si>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</si>
  <si>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</si>
  <si>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</si>
  <si>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</si>
  <si>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</si>
  <si>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</si>
  <si>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</si>
  <si>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</si>
  <si>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</si>
  <si>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</si>
  <si>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</si>
  <si>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</si>
  <si>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CUST0127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</si>
  <si>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</si>
  <si>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</si>
  <si>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</si>
  <si>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</si>
  <si>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</si>
  <si>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</si>
  <si>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</si>
  <si>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</si>
  <si>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</si>
  <si>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</si>
  <si>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</si>
  <si>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</si>
  <si>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</si>
  <si>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</si>
  <si>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</si>
  <si>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</si>
  <si>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</si>
  <si>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</si>
  <si>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</si>
  <si>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</si>
  <si>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</si>
  <si>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</si>
  <si>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</si>
  <si>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</si>
  <si>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</si>
  <si>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</si>
  <si>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</si>
  <si>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</si>
  <si>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</si>
  <si>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</si>
  <si>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</si>
  <si>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</si>
  <si>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</si>
  <si>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</si>
  <si>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</si>
  <si>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</si>
  <si>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</si>
  <si>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CUST0133</t>
  </si>
  <si>
    <t>ORD00460</t>
  </si>
  <si>
    <t>ORD00461</t>
  </si>
  <si>
    <t>ORD00462</t>
  </si>
  <si>
    <t>ORD00463</t>
  </si>
  <si>
    <t>ORD00464</t>
  </si>
  <si>
    <t>CUST0100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</si>
  <si>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</si>
  <si>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</si>
  <si>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</si>
  <si>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</si>
  <si>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</si>
  <si>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</si>
  <si>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</si>
  <si>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</si>
  <si>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</si>
  <si>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</si>
  <si>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</si>
  <si>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</si>
  <si>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</si>
  <si>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</si>
  <si>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</si>
  <si>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</si>
  <si>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</si>
  <si>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</si>
  <si>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</si>
  <si>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</si>
  <si>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</si>
  <si>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</si>
  <si>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</si>
  <si>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</si>
  <si>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</si>
  <si>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</si>
  <si>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</si>
  <si>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</si>
  <si>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</si>
  <si>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</si>
  <si>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</si>
  <si>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</si>
  <si>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</si>
  <si>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</si>
  <si>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</si>
  <si>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</si>
  <si>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Row Labels</t>
  </si>
  <si>
    <t>Sum of Profit</t>
  </si>
  <si>
    <t>Grand Total</t>
  </si>
  <si>
    <t>Sum of Sales</t>
  </si>
  <si>
    <t>(All)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</si>
  <si>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</si>
  <si>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</si>
  <si>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</si>
  <si>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</si>
  <si>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</si>
  <si>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</si>
  <si>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</si>
  <si>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</si>
  <si>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</si>
  <si>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</si>
  <si>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</si>
  <si>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</si>
  <si>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Details for Sum of Sales - Payment_Method: Cash on Delivery</t>
  </si>
  <si>
    <t>Total Sales</t>
  </si>
  <si>
    <t>Total Profit</t>
  </si>
  <si>
    <t>Total Orders</t>
  </si>
  <si>
    <t>Total Customers</t>
  </si>
  <si>
    <t>E-COMMERCE SALES ANALYSIS DASHBOARD</t>
  </si>
  <si>
    <t>TOTAL SALES</t>
  </si>
  <si>
    <t>TOTAL PROFIT</t>
  </si>
  <si>
    <t>TOTAL ORDERS</t>
  </si>
  <si>
    <t>TOTAL CUSTOMERS</t>
  </si>
  <si>
    <t>SALES BY MONTH</t>
  </si>
  <si>
    <t>SALES BY CATEGORY</t>
  </si>
  <si>
    <t>ORDERS BY CITY</t>
  </si>
  <si>
    <t>TOP PRODUCTS /CATEGORIES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</si>
</sst>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[ecommerce.sales.analysis.xlsx]category sales!PivotTable2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sales'!$A$4:$A$9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</c:strCache>
            </c:strRef>
          </c:cat>
          <c:val>
            <c:numRef>
              <c:f>'category sales'!$B$4:$B$9</c:f>
              <c:numCache>
                <c:formatCode>General</c:formatCode>
                <c:ptCount val="5"/>
                <c:pt idx="0">
                  <c:v>512060</c:v>
                </c:pt>
                <c:pt idx="1">
                  <c:v>250720</c:v>
                </c:pt>
                <c:pt idx="2">
                  <c:v>10322140</c:v>
                </c:pt>
                <c:pt idx="3">
                  <c:v>943917.5</c:v>
                </c:pt>
                <c:pt idx="4">
                  <c:v>1684972.5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8-410A-B8FC-20EBD10CF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427311"/>
        <c:axId val="1043611343"/>
      </c:barChart>
      <c:catAx>
        <c:axId val="115942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11343"/>
        <c:crosses val="autoZero"/>
        <c:auto val="1"/>
        <c:lblAlgn val="ctr"/>
        <c:lblOffset val="100"/>
        <c:noMultiLvlLbl val="0"/>
      </c:catAx>
      <c:valAx>
        <c:axId val="104361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2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[ecommerce.sales.analysis.xlsx]city sales!PivotTable4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sales'!$A$4:$A$14</c:f>
              <c:strCache>
                <c:ptCount val="10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Ghaziabad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'city sales'!$B$4:$B$14</c:f>
              <c:numCache>
                <c:formatCode>General</c:formatCode>
                <c:ptCount val="10"/>
                <c:pt idx="0">
                  <c:v>1259597.5</c:v>
                </c:pt>
                <c:pt idx="1">
                  <c:v>1354107.5</c:v>
                </c:pt>
                <c:pt idx="2">
                  <c:v>1168260</c:v>
                </c:pt>
                <c:pt idx="3">
                  <c:v>1155222.5</c:v>
                </c:pt>
                <c:pt idx="4">
                  <c:v>1159805</c:v>
                </c:pt>
                <c:pt idx="5">
                  <c:v>2154447.5</c:v>
                </c:pt>
                <c:pt idx="6">
                  <c:v>976390</c:v>
                </c:pt>
                <c:pt idx="7">
                  <c:v>1651897.5</c:v>
                </c:pt>
                <c:pt idx="8">
                  <c:v>1483900</c:v>
                </c:pt>
                <c:pt idx="9">
                  <c:v>1350182.5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6-4539-9F98-E6F3A37A57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5999919"/>
        <c:axId val="1189964751"/>
      </c:barChart>
      <c:catAx>
        <c:axId val="1165999919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964751"/>
        <c:crosses val="autoZero"/>
        <c:auto val="1"/>
        <c:lblAlgn val="ctr"/>
        <c:lblOffset val="100"/>
        <c:noMultiLvlLbl val="0"/>
      </c:catAx>
      <c:valAx>
        <c:axId val="11899647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[ecommerce.sales.analysis.xlsx]city sales!PivotTable4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sales'!$A$4:$A$14</c:f>
              <c:strCache>
                <c:ptCount val="10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Ghaziabad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'city sales'!$B$4:$B$14</c:f>
              <c:numCache>
                <c:formatCode>General</c:formatCode>
                <c:ptCount val="10"/>
                <c:pt idx="0">
                  <c:v>1259597.5</c:v>
                </c:pt>
                <c:pt idx="1">
                  <c:v>1354107.5</c:v>
                </c:pt>
                <c:pt idx="2">
                  <c:v>1168260</c:v>
                </c:pt>
                <c:pt idx="3">
                  <c:v>1155222.5</c:v>
                </c:pt>
                <c:pt idx="4">
                  <c:v>1159805</c:v>
                </c:pt>
                <c:pt idx="5">
                  <c:v>2154447.5</c:v>
                </c:pt>
                <c:pt idx="6">
                  <c:v>976390</c:v>
                </c:pt>
                <c:pt idx="7">
                  <c:v>1651897.5</c:v>
                </c:pt>
                <c:pt idx="8">
                  <c:v>1483900</c:v>
                </c:pt>
                <c:pt idx="9">
                  <c:v>1350182.5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D-4D0E-9DBB-25C989D21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030000"/>
        <c:axId val="1146169776"/>
      </c:barChart>
      <c:catAx>
        <c:axId val="11480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169776"/>
        <c:crosses val="autoZero"/>
        <c:auto val="1"/>
        <c:lblAlgn val="ctr"/>
        <c:lblOffset val="100"/>
        <c:noMultiLvlLbl val="0"/>
      </c:catAx>
      <c:valAx>
        <c:axId val="11461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[ecommerce.sales.analysis.xlsx]product sales!PivotTable5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sales'!$A$4:$A$29</c:f>
              <c:strCache>
                <c:ptCount val="25"/>
                <c:pt idx="0">
                  <c:v>Air Fryer</c:v>
                </c:pt>
                <c:pt idx="1">
                  <c:v>Children Book</c:v>
                </c:pt>
                <c:pt idx="2">
                  <c:v>Coffee Maker</c:v>
                </c:pt>
                <c:pt idx="3">
                  <c:v>Cookware Set</c:v>
                </c:pt>
                <c:pt idx="4">
                  <c:v>Exam Guide</c:v>
                </c:pt>
                <c:pt idx="5">
                  <c:v>Face Wash</c:v>
                </c:pt>
                <c:pt idx="6">
                  <c:v>Handbag</c:v>
                </c:pt>
                <c:pt idx="7">
                  <c:v>Headphones</c:v>
                </c:pt>
                <c:pt idx="8">
                  <c:v>Jacket</c:v>
                </c:pt>
                <c:pt idx="9">
                  <c:v>Jeans</c:v>
                </c:pt>
                <c:pt idx="10">
                  <c:v>Laptop</c:v>
                </c:pt>
                <c:pt idx="11">
                  <c:v>Mixer Grinder</c:v>
                </c:pt>
                <c:pt idx="12">
                  <c:v>Moisturizer</c:v>
                </c:pt>
                <c:pt idx="13">
                  <c:v>Novel</c:v>
                </c:pt>
                <c:pt idx="14">
                  <c:v>Perfume</c:v>
                </c:pt>
                <c:pt idx="15">
                  <c:v>Self Help Book</c:v>
                </c:pt>
                <c:pt idx="16">
                  <c:v>Shampoo</c:v>
                </c:pt>
                <c:pt idx="17">
                  <c:v>Smartphone</c:v>
                </c:pt>
                <c:pt idx="18">
                  <c:v>Smartwatch</c:v>
                </c:pt>
                <c:pt idx="19">
                  <c:v>Sneakers</c:v>
                </c:pt>
                <c:pt idx="20">
                  <c:v>Sunscreen</c:v>
                </c:pt>
                <c:pt idx="21">
                  <c:v>Tablet</c:v>
                </c:pt>
                <c:pt idx="22">
                  <c:v>Technical Book</c:v>
                </c:pt>
                <c:pt idx="23">
                  <c:v>T-Shirt</c:v>
                </c:pt>
                <c:pt idx="24">
                  <c:v>Vacuum Cleaner</c:v>
                </c:pt>
              </c:strCache>
            </c:strRef>
          </c:cat>
          <c:val>
            <c:numRef>
              <c:f>'product sales'!$B$4:$B$29</c:f>
              <c:numCache>
                <c:formatCode>General</c:formatCode>
                <c:ptCount val="25"/>
                <c:pt idx="0">
                  <c:v>427672.5</c:v>
                </c:pt>
                <c:pt idx="1">
                  <c:v>49270</c:v>
                </c:pt>
                <c:pt idx="2">
                  <c:v>435102.5</c:v>
                </c:pt>
                <c:pt idx="3">
                  <c:v>307467.5</c:v>
                </c:pt>
                <c:pt idx="4">
                  <c:v>44535</c:v>
                </c:pt>
                <c:pt idx="5">
                  <c:v>99000</c:v>
                </c:pt>
                <c:pt idx="6">
                  <c:v>156357.5</c:v>
                </c:pt>
                <c:pt idx="7">
                  <c:v>1479405</c:v>
                </c:pt>
                <c:pt idx="8">
                  <c:v>145155</c:v>
                </c:pt>
                <c:pt idx="9">
                  <c:v>181030</c:v>
                </c:pt>
                <c:pt idx="10">
                  <c:v>2567940</c:v>
                </c:pt>
                <c:pt idx="11">
                  <c:v>198070</c:v>
                </c:pt>
                <c:pt idx="12">
                  <c:v>118810</c:v>
                </c:pt>
                <c:pt idx="13">
                  <c:v>51090</c:v>
                </c:pt>
                <c:pt idx="14">
                  <c:v>93690</c:v>
                </c:pt>
                <c:pt idx="15">
                  <c:v>42160</c:v>
                </c:pt>
                <c:pt idx="16">
                  <c:v>73860</c:v>
                </c:pt>
                <c:pt idx="17">
                  <c:v>2142892.5</c:v>
                </c:pt>
                <c:pt idx="18">
                  <c:v>1576407.5</c:v>
                </c:pt>
                <c:pt idx="19">
                  <c:v>173482.5</c:v>
                </c:pt>
                <c:pt idx="20">
                  <c:v>126700</c:v>
                </c:pt>
                <c:pt idx="21">
                  <c:v>2555495</c:v>
                </c:pt>
                <c:pt idx="22">
                  <c:v>63665</c:v>
                </c:pt>
                <c:pt idx="23">
                  <c:v>287892.5</c:v>
                </c:pt>
                <c:pt idx="24">
                  <c:v>316660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1-4587-A5C4-E1A30C62F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639568"/>
        <c:axId val="928526928"/>
      </c:barChart>
      <c:catAx>
        <c:axId val="93063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26928"/>
        <c:crosses val="autoZero"/>
        <c:auto val="1"/>
        <c:lblAlgn val="ctr"/>
        <c:lblOffset val="100"/>
        <c:noMultiLvlLbl val="0"/>
      </c:catAx>
      <c:valAx>
        <c:axId val="92852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3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[ecommerce.sales.analysis.xlsx]monthly sales!PivotTable6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991935</c:v>
                </c:pt>
                <c:pt idx="1">
                  <c:v>1257990</c:v>
                </c:pt>
                <c:pt idx="2">
                  <c:v>1496322.5</c:v>
                </c:pt>
                <c:pt idx="3">
                  <c:v>659395</c:v>
                </c:pt>
                <c:pt idx="4">
                  <c:v>1122582.5</c:v>
                </c:pt>
                <c:pt idx="5">
                  <c:v>1068040</c:v>
                </c:pt>
                <c:pt idx="6">
                  <c:v>1808070</c:v>
                </c:pt>
                <c:pt idx="7">
                  <c:v>966140</c:v>
                </c:pt>
                <c:pt idx="8">
                  <c:v>913115</c:v>
                </c:pt>
                <c:pt idx="9">
                  <c:v>1283230</c:v>
                </c:pt>
                <c:pt idx="10">
                  <c:v>866082.5</c:v>
                </c:pt>
                <c:pt idx="11">
                  <c:v>1280907.5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A-4B39-9C0E-4723331C8AD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630607"/>
        <c:axId val="1189997391"/>
      </c:lineChart>
      <c:catAx>
        <c:axId val="1204630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9997391"/>
        <c:crosses val="autoZero"/>
        <c:auto val="1"/>
        <c:lblAlgn val="ctr"/>
        <c:lblOffset val="100"/>
        <c:noMultiLvlLbl val="0"/>
      </c:catAx>
      <c:valAx>
        <c:axId val="11899973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0463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[ecommerce.sales.analysis.xlsx]monthly sales!PivotTable6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991935</c:v>
                </c:pt>
                <c:pt idx="1">
                  <c:v>1257990</c:v>
                </c:pt>
                <c:pt idx="2">
                  <c:v>1496322.5</c:v>
                </c:pt>
                <c:pt idx="3">
                  <c:v>659395</c:v>
                </c:pt>
                <c:pt idx="4">
                  <c:v>1122582.5</c:v>
                </c:pt>
                <c:pt idx="5">
                  <c:v>1068040</c:v>
                </c:pt>
                <c:pt idx="6">
                  <c:v>1808070</c:v>
                </c:pt>
                <c:pt idx="7">
                  <c:v>966140</c:v>
                </c:pt>
                <c:pt idx="8">
                  <c:v>913115</c:v>
                </c:pt>
                <c:pt idx="9">
                  <c:v>1283230</c:v>
                </c:pt>
                <c:pt idx="10">
                  <c:v>866082.5</c:v>
                </c:pt>
                <c:pt idx="11">
                  <c:v>1280907.5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7-4D8F-9BBB-E5312D264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893728"/>
        <c:axId val="928473648"/>
      </c:barChart>
      <c:catAx>
        <c:axId val="110089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73648"/>
        <c:crosses val="autoZero"/>
        <c:auto val="1"/>
        <c:lblAlgn val="ctr"/>
        <c:lblOffset val="100"/>
        <c:noMultiLvlLbl val="0"/>
      </c:catAx>
      <c:valAx>
        <c:axId val="9284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89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[ecommerce.sales.analysis.xlsx]payment details!PivotTable7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details'!$B$3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details'!$A$4:$A$9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'payment details'!$B$4:$B$9</c:f>
              <c:numCache>
                <c:formatCode>General</c:formatCode>
                <c:ptCount val="5"/>
                <c:pt idx="0">
                  <c:v>2317752.5</c:v>
                </c:pt>
                <c:pt idx="1">
                  <c:v>3284672.5</c:v>
                </c:pt>
                <c:pt idx="2">
                  <c:v>2272560</c:v>
                </c:pt>
                <c:pt idx="3">
                  <c:v>2885075</c:v>
                </c:pt>
                <c:pt idx="4">
                  <c:v>2953750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A-403F-BA84-D59180E61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992223"/>
        <c:axId val="1189967151"/>
      </c:barChart>
      <c:catAx>
        <c:axId val="10479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967151"/>
        <c:crosses val="autoZero"/>
        <c:auto val="1"/>
        <c:lblAlgn val="ctr"/>
        <c:lblOffset val="100"/>
        <c:noMultiLvlLbl val="0"/>
      </c:catAx>
      <c:valAx>
        <c:axId val="118996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99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[ecommerce.sales.analysis.xlsx]sum of profit!PivotTable8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profit'!$A$3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profit'!$A$4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'sum of profit'!$A$4</c:f>
              <c:numCache>
                <c:formatCode>General</c:formatCode>
                <c:ptCount val="1"/>
                <c:pt idx="0">
                  <c:v>4266370.2499999981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8-4442-8BB0-FF938F509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597071"/>
        <c:axId val="1190002191"/>
      </c:barChart>
      <c:catAx>
        <c:axId val="118059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002191"/>
        <c:crosses val="autoZero"/>
        <c:auto val="1"/>
        <c:lblAlgn val="ctr"/>
        <c:lblOffset val="100"/>
        <c:noMultiLvlLbl val="0"/>
      </c:catAx>
      <c:valAx>
        <c:axId val="11900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59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[ecommerce.sales.analysis.xlsx]monthly sales!PivotTable6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991935</c:v>
                </c:pt>
                <c:pt idx="1">
                  <c:v>1257990</c:v>
                </c:pt>
                <c:pt idx="2">
                  <c:v>1496322.5</c:v>
                </c:pt>
                <c:pt idx="3">
                  <c:v>659395</c:v>
                </c:pt>
                <c:pt idx="4">
                  <c:v>1122582.5</c:v>
                </c:pt>
                <c:pt idx="5">
                  <c:v>1068040</c:v>
                </c:pt>
                <c:pt idx="6">
                  <c:v>1808070</c:v>
                </c:pt>
                <c:pt idx="7">
                  <c:v>966140</c:v>
                </c:pt>
                <c:pt idx="8">
                  <c:v>913115</c:v>
                </c:pt>
                <c:pt idx="9">
                  <c:v>1283230</c:v>
                </c:pt>
                <c:pt idx="10">
                  <c:v>866082.5</c:v>
                </c:pt>
                <c:pt idx="11">
                  <c:v>1280907.5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0-4787-9727-8D54B4A1C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893728"/>
        <c:axId val="928473648"/>
      </c:barChart>
      <c:catAx>
        <c:axId val="110089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73648"/>
        <c:crosses val="autoZero"/>
        <c:auto val="1"/>
        <c:lblAlgn val="ctr"/>
        <c:lblOffset val="100"/>
        <c:noMultiLvlLbl val="0"/>
      </c:catAx>
      <c:valAx>
        <c:axId val="9284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89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[ecommerce.sales.analysis.xlsx]category sales!PivotTable2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sales'!$A$4:$A$9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</c:strCache>
            </c:strRef>
          </c:cat>
          <c:val>
            <c:numRef>
              <c:f>'category sales'!$B$4:$B$9</c:f>
              <c:numCache>
                <c:formatCode>General</c:formatCode>
                <c:ptCount val="5"/>
                <c:pt idx="0">
                  <c:v>512060</c:v>
                </c:pt>
                <c:pt idx="1">
                  <c:v>250720</c:v>
                </c:pt>
                <c:pt idx="2">
                  <c:v>10322140</c:v>
                </c:pt>
                <c:pt idx="3">
                  <c:v>943917.5</c:v>
                </c:pt>
                <c:pt idx="4">
                  <c:v>1684972.5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8-4FB9-820F-B68622279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427311"/>
        <c:axId val="1043611343"/>
      </c:barChart>
      <c:catAx>
        <c:axId val="115942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11343"/>
        <c:crosses val="autoZero"/>
        <c:auto val="1"/>
        <c:lblAlgn val="ctr"/>
        <c:lblOffset val="100"/>
        <c:noMultiLvlLbl val="0"/>
      </c:catAx>
      <c:valAx>
        <c:axId val="104361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2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[ecommerce.sales.analysis.xlsx]city sales!PivotTable4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sales'!$A$4:$A$14</c:f>
              <c:strCache>
                <c:ptCount val="10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Ghaziabad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'city sales'!$B$4:$B$14</c:f>
              <c:numCache>
                <c:formatCode>General</c:formatCode>
                <c:ptCount val="10"/>
                <c:pt idx="0">
                  <c:v>1259597.5</c:v>
                </c:pt>
                <c:pt idx="1">
                  <c:v>1354107.5</c:v>
                </c:pt>
                <c:pt idx="2">
                  <c:v>1168260</c:v>
                </c:pt>
                <c:pt idx="3">
                  <c:v>1155222.5</c:v>
                </c:pt>
                <c:pt idx="4">
                  <c:v>1159805</c:v>
                </c:pt>
                <c:pt idx="5">
                  <c:v>2154447.5</c:v>
                </c:pt>
                <c:pt idx="6">
                  <c:v>976390</c:v>
                </c:pt>
                <c:pt idx="7">
                  <c:v>1651897.5</c:v>
                </c:pt>
                <c:pt idx="8">
                  <c:v>1483900</c:v>
                </c:pt>
                <c:pt idx="9">
                  <c:v>1350182.5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7-49C9-A719-21275B20B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030000"/>
        <c:axId val="1146169776"/>
      </c:barChart>
      <c:catAx>
        <c:axId val="11480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169776"/>
        <c:crosses val="autoZero"/>
        <c:auto val="1"/>
        <c:lblAlgn val="ctr"/>
        <c:lblOffset val="100"/>
        <c:noMultiLvlLbl val="0"/>
      </c:catAx>
      <c:valAx>
        <c:axId val="11461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[ecommerce.sales.analysis.xlsx]product sales!PivotTable5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sales'!$A$4:$A$29</c:f>
              <c:strCache>
                <c:ptCount val="25"/>
                <c:pt idx="0">
                  <c:v>Air Fryer</c:v>
                </c:pt>
                <c:pt idx="1">
                  <c:v>Children Book</c:v>
                </c:pt>
                <c:pt idx="2">
                  <c:v>Coffee Maker</c:v>
                </c:pt>
                <c:pt idx="3">
                  <c:v>Cookware Set</c:v>
                </c:pt>
                <c:pt idx="4">
                  <c:v>Exam Guide</c:v>
                </c:pt>
                <c:pt idx="5">
                  <c:v>Face Wash</c:v>
                </c:pt>
                <c:pt idx="6">
                  <c:v>Handbag</c:v>
                </c:pt>
                <c:pt idx="7">
                  <c:v>Headphones</c:v>
                </c:pt>
                <c:pt idx="8">
                  <c:v>Jacket</c:v>
                </c:pt>
                <c:pt idx="9">
                  <c:v>Jeans</c:v>
                </c:pt>
                <c:pt idx="10">
                  <c:v>Laptop</c:v>
                </c:pt>
                <c:pt idx="11">
                  <c:v>Mixer Grinder</c:v>
                </c:pt>
                <c:pt idx="12">
                  <c:v>Moisturizer</c:v>
                </c:pt>
                <c:pt idx="13">
                  <c:v>Novel</c:v>
                </c:pt>
                <c:pt idx="14">
                  <c:v>Perfume</c:v>
                </c:pt>
                <c:pt idx="15">
                  <c:v>Self Help Book</c:v>
                </c:pt>
                <c:pt idx="16">
                  <c:v>Shampoo</c:v>
                </c:pt>
                <c:pt idx="17">
                  <c:v>Smartphone</c:v>
                </c:pt>
                <c:pt idx="18">
                  <c:v>Smartwatch</c:v>
                </c:pt>
                <c:pt idx="19">
                  <c:v>Sneakers</c:v>
                </c:pt>
                <c:pt idx="20">
                  <c:v>Sunscreen</c:v>
                </c:pt>
                <c:pt idx="21">
                  <c:v>Tablet</c:v>
                </c:pt>
                <c:pt idx="22">
                  <c:v>Technical Book</c:v>
                </c:pt>
                <c:pt idx="23">
                  <c:v>T-Shirt</c:v>
                </c:pt>
                <c:pt idx="24">
                  <c:v>Vacuum Cleaner</c:v>
                </c:pt>
              </c:strCache>
            </c:strRef>
          </c:cat>
          <c:val>
            <c:numRef>
              <c:f>'product sales'!$B$4:$B$29</c:f>
              <c:numCache>
                <c:formatCode>General</c:formatCode>
                <c:ptCount val="25"/>
                <c:pt idx="0">
                  <c:v>427672.5</c:v>
                </c:pt>
                <c:pt idx="1">
                  <c:v>49270</c:v>
                </c:pt>
                <c:pt idx="2">
                  <c:v>435102.5</c:v>
                </c:pt>
                <c:pt idx="3">
                  <c:v>307467.5</c:v>
                </c:pt>
                <c:pt idx="4">
                  <c:v>44535</c:v>
                </c:pt>
                <c:pt idx="5">
                  <c:v>99000</c:v>
                </c:pt>
                <c:pt idx="6">
                  <c:v>156357.5</c:v>
                </c:pt>
                <c:pt idx="7">
                  <c:v>1479405</c:v>
                </c:pt>
                <c:pt idx="8">
                  <c:v>145155</c:v>
                </c:pt>
                <c:pt idx="9">
                  <c:v>181030</c:v>
                </c:pt>
                <c:pt idx="10">
                  <c:v>2567940</c:v>
                </c:pt>
                <c:pt idx="11">
                  <c:v>198070</c:v>
                </c:pt>
                <c:pt idx="12">
                  <c:v>118810</c:v>
                </c:pt>
                <c:pt idx="13">
                  <c:v>51090</c:v>
                </c:pt>
                <c:pt idx="14">
                  <c:v>93690</c:v>
                </c:pt>
                <c:pt idx="15">
                  <c:v>42160</c:v>
                </c:pt>
                <c:pt idx="16">
                  <c:v>73860</c:v>
                </c:pt>
                <c:pt idx="17">
                  <c:v>2142892.5</c:v>
                </c:pt>
                <c:pt idx="18">
                  <c:v>1576407.5</c:v>
                </c:pt>
                <c:pt idx="19">
                  <c:v>173482.5</c:v>
                </c:pt>
                <c:pt idx="20">
                  <c:v>126700</c:v>
                </c:pt>
                <c:pt idx="21">
                  <c:v>2555495</c:v>
                </c:pt>
                <c:pt idx="22">
                  <c:v>63665</c:v>
                </c:pt>
                <c:pt idx="23">
                  <c:v>287892.5</c:v>
                </c:pt>
                <c:pt idx="24">
                  <c:v>316660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A-4A8F-B97E-0D01E52BA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639568"/>
        <c:axId val="928526928"/>
      </c:barChart>
      <c:catAx>
        <c:axId val="93063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26928"/>
        <c:crosses val="autoZero"/>
        <c:auto val="1"/>
        <c:lblAlgn val="ctr"/>
        <c:lblOffset val="100"/>
        <c:noMultiLvlLbl val="0"/>
      </c:catAx>
      <c:valAx>
        <c:axId val="92852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3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481012</xdr:colOff>
      <xdr:row>4</xdr:row>
      <xdr:rowOff>104775</xdr:rowOff>
    </xdr:from>
    <xdr:to>
      <xdr:col>13</xdr:col>
      <xdr:colOff>485775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501EF-2F23-CF0C-B0D7-278E12D02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3</xdr:row>
      <xdr:rowOff>123826</xdr:rowOff>
    </xdr:from>
    <xdr:to>
      <xdr:col>11</xdr:col>
      <xdr:colOff>609599</xdr:colOff>
      <xdr:row>17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C8F8F-E9C2-F229-ED29-EC217480F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338137</xdr:colOff>
      <xdr:row>2</xdr:row>
      <xdr:rowOff>180975</xdr:rowOff>
    </xdr:from>
    <xdr:to>
      <xdr:col>12</xdr:col>
      <xdr:colOff>409575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C384D0-7D10-D6CC-182A-FA031B8B8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3</xdr:row>
      <xdr:rowOff>90487</xdr:rowOff>
    </xdr:from>
    <xdr:to>
      <xdr:col>10</xdr:col>
      <xdr:colOff>481012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C54B5-ED05-8425-6CF1-44635EE92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76201</xdr:rowOff>
    </xdr:from>
    <xdr:to>
      <xdr:col>11</xdr:col>
      <xdr:colOff>285750</xdr:colOff>
      <xdr:row>16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ED1C4-FFA7-1B29-7AF8-802C0FE35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252412</xdr:colOff>
      <xdr:row>2</xdr:row>
      <xdr:rowOff>23812</xdr:rowOff>
    </xdr:from>
    <xdr:to>
      <xdr:col>11</xdr:col>
      <xdr:colOff>557212</xdr:colOff>
      <xdr:row>16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4D6434-7100-343D-72E5-3FF33B7B9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161926</xdr:colOff>
      <xdr:row>1</xdr:row>
      <xdr:rowOff>142875</xdr:rowOff>
    </xdr:from>
    <xdr:to>
      <xdr:col>10</xdr:col>
      <xdr:colOff>371476</xdr:colOff>
      <xdr:row>16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C774E-C9B3-596A-691B-54021E16F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3</xdr:row>
      <xdr:rowOff>85725</xdr:rowOff>
    </xdr:from>
    <xdr:to>
      <xdr:col>9</xdr:col>
      <xdr:colOff>381001</xdr:colOff>
      <xdr:row>17</xdr:row>
      <xdr:rowOff>90486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9BB169-747D-4E9C-B47C-59AE0037E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8</xdr:row>
      <xdr:rowOff>19050</xdr:rowOff>
    </xdr:from>
    <xdr:to>
      <xdr:col>9</xdr:col>
      <xdr:colOff>476250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F43818-C141-435A-AB3E-05F3A9E63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133351</xdr:colOff>
      <xdr:row>25</xdr:row>
      <xdr:rowOff>9525</xdr:rowOff>
    </xdr:from>
    <xdr:to>
      <xdr:col>6</xdr:col>
      <xdr:colOff>238126</xdr:colOff>
      <xdr:row>41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14BB7C-A25B-4CB0-9407-A15E24F90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485775</xdr:colOff>
      <xdr:row>25</xdr:row>
      <xdr:rowOff>19050</xdr:rowOff>
    </xdr:from>
    <xdr:to>
      <xdr:col>12</xdr:col>
      <xdr:colOff>400050</xdr:colOff>
      <xdr:row>41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C538BD-21B1-4224-BA67-CA3696BF4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123825</xdr:colOff>
      <xdr:row>45</xdr:row>
      <xdr:rowOff>28575</xdr:rowOff>
    </xdr:from>
    <xdr:to>
      <xdr:col>10</xdr:col>
      <xdr:colOff>514351</xdr:colOff>
      <xdr:row>62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9E4E6D-7C40-446D-BA7D-18FBD8A0E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1" refreshedDate="46285.62728414352" createdVersion="8" refreshedVersion="8" minRefreshableVersion="3" recordCount="500" xr:uid="{2A3812FE-4673-4BDB-914F-BA3A8FA4BBA8}">
  <cacheSource type="worksheet">
    <worksheetSource name="Table2"/>
  </cacheSource>
  <cacheFields count="15">
    <cacheField name="Order_ID" numFmtId="0">
      <sharedItems/>
    </cacheField>
    <cacheField name="Order_Date" numFmtId="164">
      <sharedItems containsSemiMixedTypes="0" containsNonDate="0" containsDate="1" containsString="0" minDate="2026-01-01T00:00:00" maxDate="2027-01-01T00:00:00" count="275">
        <d v="2026-02-22T00:00:00"/>
        <d v="2026-11-05T00:00:00"/>
        <d v="2026-01-04T00:00:00"/>
        <d v="2026-02-19T00:00:00"/>
        <d v="2026-07-13T00:00:00"/>
        <d v="2026-04-27T00:00:00"/>
        <d v="2026-07-01T00:00:00"/>
        <d v="2026-07-14T00:00:00"/>
        <d v="2026-02-03T00:00:00"/>
        <d v="2026-03-13T00:00:00"/>
        <d v="2026-03-12T00:00:00"/>
        <d v="2026-07-17T00:00:00"/>
        <d v="2026-10-02T00:00:00"/>
        <d v="2026-05-15T00:00:00"/>
        <d v="2026-03-24T00:00:00"/>
        <d v="2026-06-07T00:00:00"/>
        <d v="2026-09-30T00:00:00"/>
        <d v="2026-04-19T00:00:00"/>
        <d v="2026-04-26T00:00:00"/>
        <d v="2026-12-29T00:00:00"/>
        <d v="2026-09-06T00:00:00"/>
        <d v="2026-04-08T00:00:00"/>
        <d v="2026-11-27T00:00:00"/>
        <d v="2026-11-30T00:00:00"/>
        <d v="2026-07-25T00:00:00"/>
        <d v="2026-10-12T00:00:00"/>
        <d v="2026-06-10T00:00:00"/>
        <d v="2026-02-11T00:00:00"/>
        <d v="2026-11-01T00:00:00"/>
        <d v="2026-04-15T00:00:00"/>
        <d v="2026-02-07T00:00:00"/>
        <d v="2026-03-09T00:00:00"/>
        <d v="2026-11-10T00:00:00"/>
        <d v="2026-10-11T00:00:00"/>
        <d v="2026-05-09T00:00:00"/>
        <d v="2026-12-20T00:00:00"/>
        <d v="2026-07-28T00:00:00"/>
        <d v="2026-07-30T00:00:00"/>
        <d v="2026-08-24T00:00:00"/>
        <d v="2026-02-05T00:00:00"/>
        <d v="2026-05-14T00:00:00"/>
        <d v="2026-08-12T00:00:00"/>
        <d v="2026-12-06T00:00:00"/>
        <d v="2026-04-09T00:00:00"/>
        <d v="2026-06-05T00:00:00"/>
        <d v="2026-04-20T00:00:00"/>
        <d v="2026-05-01T00:00:00"/>
        <d v="2026-12-19T00:00:00"/>
        <d v="2026-03-04T00:00:00"/>
        <d v="2026-09-16T00:00:00"/>
        <d v="2026-05-22T00:00:00"/>
        <d v="2026-06-13T00:00:00"/>
        <d v="2026-02-02T00:00:00"/>
        <d v="2026-07-19T00:00:00"/>
        <d v="2026-08-03T00:00:00"/>
        <d v="2026-10-31T00:00:00"/>
        <d v="2026-06-17T00:00:00"/>
        <d v="2026-08-29T00:00:00"/>
        <d v="2026-05-07T00:00:00"/>
        <d v="2026-04-22T00:00:00"/>
        <d v="2026-02-25T00:00:00"/>
        <d v="2026-08-08T00:00:00"/>
        <d v="2026-07-05T00:00:00"/>
        <d v="2026-08-27T00:00:00"/>
        <d v="2026-08-26T00:00:00"/>
        <d v="2026-02-13T00:00:00"/>
        <d v="2026-01-09T00:00:00"/>
        <d v="2026-09-05T00:00:00"/>
        <d v="2026-04-02T00:00:00"/>
        <d v="2026-03-06T00:00:00"/>
        <d v="2026-01-27T00:00:00"/>
        <d v="2026-01-28T00:00:00"/>
        <d v="2026-11-07T00:00:00"/>
        <d v="2026-11-14T00:00:00"/>
        <d v="2026-03-30T00:00:00"/>
        <d v="2026-05-28T00:00:00"/>
        <d v="2026-10-06T00:00:00"/>
        <d v="2026-10-19T00:00:00"/>
        <d v="2026-08-13T00:00:00"/>
        <d v="2026-12-12T00:00:00"/>
        <d v="2026-08-15T00:00:00"/>
        <d v="2026-06-14T00:00:00"/>
        <d v="2026-10-09T00:00:00"/>
        <d v="2026-01-01T00:00:00"/>
        <d v="2026-11-17T00:00:00"/>
        <d v="2026-02-17T00:00:00"/>
        <d v="2026-08-01T00:00:00"/>
        <d v="2026-09-18T00:00:00"/>
        <d v="2026-06-02T00:00:00"/>
        <d v="2026-10-30T00:00:00"/>
        <d v="2026-12-02T00:00:00"/>
        <d v="2026-12-17T00:00:00"/>
        <d v="2026-01-15T00:00:00"/>
        <d v="2026-09-12T00:00:00"/>
        <d v="2026-08-22T00:00:00"/>
        <d v="2026-06-01T00:00:00"/>
        <d v="2026-05-27T00:00:00"/>
        <d v="2026-11-18T00:00:00"/>
        <d v="2026-03-26T00:00:00"/>
        <d v="2026-07-08T00:00:00"/>
        <d v="2026-10-15T00:00:00"/>
        <d v="2026-01-20T00:00:00"/>
        <d v="2026-12-10T00:00:00"/>
        <d v="2026-05-24T00:00:00"/>
        <d v="2026-03-16T00:00:00"/>
        <d v="2026-05-02T00:00:00"/>
        <d v="2026-11-11T00:00:00"/>
        <d v="2026-11-16T00:00:00"/>
        <d v="2026-08-09T00:00:00"/>
        <d v="2026-08-21T00:00:00"/>
        <d v="2026-03-20T00:00:00"/>
        <d v="2026-08-05T00:00:00"/>
        <d v="2026-12-03T00:00:00"/>
        <d v="2026-05-20T00:00:00"/>
        <d v="2026-11-21T00:00:00"/>
        <d v="2026-06-09T00:00:00"/>
        <d v="2026-09-20T00:00:00"/>
        <d v="2026-01-24T00:00:00"/>
        <d v="2026-05-11T00:00:00"/>
        <d v="2026-12-27T00:00:00"/>
        <d v="2026-02-09T00:00:00"/>
        <d v="2026-06-16T00:00:00"/>
        <d v="2026-10-16T00:00:00"/>
        <d v="2026-02-01T00:00:00"/>
        <d v="2026-06-23T00:00:00"/>
        <d v="2026-09-27T00:00:00"/>
        <d v="2026-12-21T00:00:00"/>
        <d v="2026-08-18T00:00:00"/>
        <d v="2026-08-25T00:00:00"/>
        <d v="2026-01-14T00:00:00"/>
        <d v="2026-10-08T00:00:00"/>
        <d v="2026-11-24T00:00:00"/>
        <d v="2026-03-15T00:00:00"/>
        <d v="2026-12-09T00:00:00"/>
        <d v="2026-03-31T00:00:00"/>
        <d v="2026-04-13T00:00:00"/>
        <d v="2026-11-28T00:00:00"/>
        <d v="2026-07-24T00:00:00"/>
        <d v="2026-02-12T00:00:00"/>
        <d v="2026-01-22T00:00:00"/>
        <d v="2026-12-14T00:00:00"/>
        <d v="2026-07-10T00:00:00"/>
        <d v="2026-05-08T00:00:00"/>
        <d v="2026-08-20T00:00:00"/>
        <d v="2026-06-03T00:00:00"/>
        <d v="2026-09-10T00:00:00"/>
        <d v="2026-02-14T00:00:00"/>
        <d v="2026-10-10T00:00:00"/>
        <d v="2026-10-25T00:00:00"/>
        <d v="2026-11-25T00:00:00"/>
        <d v="2026-01-31T00:00:00"/>
        <d v="2026-09-21T00:00:00"/>
        <d v="2026-05-04T00:00:00"/>
        <d v="2026-12-01T00:00:00"/>
        <d v="2026-07-26T00:00:00"/>
        <d v="2026-09-14T00:00:00"/>
        <d v="2026-09-17T00:00:00"/>
        <d v="2026-02-26T00:00:00"/>
        <d v="2026-12-25T00:00:00"/>
        <d v="2026-12-13T00:00:00"/>
        <d v="2026-10-21T00:00:00"/>
        <d v="2026-02-10T00:00:00"/>
        <d v="2026-12-23T00:00:00"/>
        <d v="2026-09-29T00:00:00"/>
        <d v="2026-01-05T00:00:00"/>
        <d v="2026-03-10T00:00:00"/>
        <d v="2026-04-06T00:00:00"/>
        <d v="2026-01-06T00:00:00"/>
        <d v="2026-09-15T00:00:00"/>
        <d v="2026-11-02T00:00:00"/>
        <d v="2026-12-15T00:00:00"/>
        <d v="2026-01-02T00:00:00"/>
        <d v="2026-07-15T00:00:00"/>
        <d v="2026-10-03T00:00:00"/>
        <d v="2026-02-27T00:00:00"/>
        <d v="2026-08-17T00:00:00"/>
        <d v="2026-01-29T00:00:00"/>
        <d v="2026-07-18T00:00:00"/>
        <d v="2026-10-28T00:00:00"/>
        <d v="2026-03-02T00:00:00"/>
        <d v="2026-10-05T00:00:00"/>
        <d v="2026-04-29T00:00:00"/>
        <d v="2026-12-08T00:00:00"/>
        <d v="2026-05-21T00:00:00"/>
        <d v="2026-07-27T00:00:00"/>
        <d v="2026-12-05T00:00:00"/>
        <d v="2026-12-31T00:00:00"/>
        <d v="2026-05-19T00:00:00"/>
        <d v="2026-01-07T00:00:00"/>
        <d v="2026-03-28T00:00:00"/>
        <d v="2026-08-04T00:00:00"/>
        <d v="2026-04-11T00:00:00"/>
        <d v="2026-06-18T00:00:00"/>
        <d v="2026-05-05T00:00:00"/>
        <d v="2026-10-07T00:00:00"/>
        <d v="2026-02-20T00:00:00"/>
        <d v="2026-07-11T00:00:00"/>
        <d v="2026-06-28T00:00:00"/>
        <d v="2026-02-28T00:00:00"/>
        <d v="2026-10-14T00:00:00"/>
        <d v="2026-06-30T00:00:00"/>
        <d v="2026-05-03T00:00:00"/>
        <d v="2026-10-22T00:00:00"/>
        <d v="2026-07-16T00:00:00"/>
        <d v="2026-08-23T00:00:00"/>
        <d v="2026-07-07T00:00:00"/>
        <d v="2026-01-17T00:00:00"/>
        <d v="2026-10-29T00:00:00"/>
        <d v="2026-05-17T00:00:00"/>
        <d v="2026-12-24T00:00:00"/>
        <d v="2026-05-26T00:00:00"/>
        <d v="2026-11-29T00:00:00"/>
        <d v="2026-11-12T00:00:00"/>
        <d v="2026-06-11T00:00:00"/>
        <d v="2026-12-04T00:00:00"/>
        <d v="2026-08-30T00:00:00"/>
        <d v="2026-07-23T00:00:00"/>
        <d v="2026-06-27T00:00:00"/>
        <d v="2026-01-16T00:00:00"/>
        <d v="2026-07-06T00:00:00"/>
        <d v="2026-09-22T00:00:00"/>
        <d v="2026-11-22T00:00:00"/>
        <d v="2026-03-03T00:00:00"/>
        <d v="2026-04-24T00:00:00"/>
        <d v="2026-02-08T00:00:00"/>
        <d v="2026-04-23T00:00:00"/>
        <d v="2026-03-23T00:00:00"/>
        <d v="2026-09-09T00:00:00"/>
        <d v="2026-06-19T00:00:00"/>
        <d v="2026-03-14T00:00:00"/>
        <d v="2026-03-11T00:00:00"/>
        <d v="2026-10-18T00:00:00"/>
        <d v="2026-06-29T00:00:00"/>
        <d v="2026-01-18T00:00:00"/>
        <d v="2026-07-29T00:00:00"/>
        <d v="2026-03-01T00:00:00"/>
        <d v="2026-07-09T00:00:00"/>
        <d v="2026-05-18T00:00:00"/>
        <d v="2026-08-31T00:00:00"/>
        <d v="2026-02-15T00:00:00"/>
        <d v="2026-03-25T00:00:00"/>
        <d v="2026-12-16T00:00:00"/>
        <d v="2026-06-06T00:00:00"/>
        <d v="2026-09-24T00:00:00"/>
        <d v="2026-10-26T00:00:00"/>
        <d v="2026-03-29T00:00:00"/>
        <d v="2026-04-04T00:00:00"/>
        <d v="2026-10-27T00:00:00"/>
        <d v="2026-04-10T00:00:00"/>
        <d v="2026-09-07T00:00:00"/>
        <d v="2026-09-02T00:00:00"/>
        <d v="2026-06-22T00:00:00"/>
        <d v="2026-04-25T00:00:00"/>
        <d v="2026-01-11T00:00:00"/>
        <d v="2026-11-08T00:00:00"/>
        <d v="2026-07-03T00:00:00"/>
        <d v="2026-11-06T00:00:00"/>
        <d v="2026-07-21T00:00:00"/>
        <d v="2026-08-19T00:00:00"/>
        <d v="2026-08-10T00:00:00"/>
        <d v="2026-11-04T00:00:00"/>
        <d v="2026-05-31T00:00:00"/>
        <d v="2026-05-16T00:00:00"/>
        <d v="2026-06-15T00:00:00"/>
        <d v="2026-06-12T00:00:00"/>
        <d v="2026-11-13T00:00:00"/>
        <d v="2026-01-13T00:00:00"/>
        <d v="2026-04-18T00:00:00"/>
        <d v="2026-10-13T00:00:00"/>
        <d v="2026-01-03T00:00:00"/>
        <d v="2026-06-26T00:00:00"/>
        <d v="2026-02-04T00:00:00"/>
        <d v="2026-10-04T00:00:00"/>
        <d v="2026-01-21T00:00:00"/>
        <d v="2026-07-12T00:00:00"/>
      </sharedItems>
      <fieldGroup par="14"/>
    </cacheField>
    <cacheField name="Customer_ID" numFmtId="0">
      <sharedItems/>
    </cacheField>
    <cacheField name="City" numFmtId="0">
      <sharedItems count="10">
        <s v="Mumbai"/>
        <s v="Lucknow"/>
        <s v="Pune"/>
        <s v="Kolkata"/>
        <s v="Chennai"/>
        <s v="Ghaziabad"/>
        <s v="Jaipur"/>
        <s v="Bengaluru"/>
        <s v="Delhi"/>
        <s v="Hyderabad"/>
      </sharedItems>
    </cacheField>
    <cacheField name="Category" numFmtId="0">
      <sharedItems count="5">
        <s v="Electronics"/>
        <s v="Beauty"/>
        <s v="Books"/>
        <s v="Fashion"/>
        <s v="Home &amp; Kitchen"/>
      </sharedItems>
    </cacheField>
    <cacheField name="Product" numFmtId="0">
      <sharedItems count="25">
        <s v="Laptop"/>
        <s v="Face Wash"/>
        <s v="Children Book"/>
        <s v="Jeans"/>
        <s v="T-Shirt"/>
        <s v="Technical Book"/>
        <s v="Smartwatch"/>
        <s v="Self Help Book"/>
        <s v="Vacuum Cleaner"/>
        <s v="Handbag"/>
        <s v="Jacket"/>
        <s v="Headphones"/>
        <s v="Novel"/>
        <s v="Shampoo"/>
        <s v="Exam Guide"/>
        <s v="Moisturizer"/>
        <s v="Air Fryer"/>
        <s v="Sunscreen"/>
        <s v="Smartphone"/>
        <s v="Sneakers"/>
        <s v="Mixer Grinder"/>
        <s v="Cookware Set"/>
        <s v="Perfume"/>
        <s v="Coffee Maker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" maxValue="74800"/>
    </cacheField>
    <cacheField name="Discount_Percent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190" maxValue="355500" count="427">
        <n v="94905"/>
        <n v="570"/>
        <n v="1680"/>
        <n v="6300"/>
        <n v="19200"/>
        <n v="2750"/>
        <n v="163755"/>
        <n v="7837.5"/>
        <n v="1170"/>
        <n v="37570"/>
        <n v="17680"/>
        <n v="37655"/>
        <n v="750"/>
        <n v="8200"/>
        <n v="129437.5"/>
        <n v="800"/>
        <n v="1402.5"/>
        <n v="3000"/>
        <n v="7820"/>
        <n v="2565"/>
        <n v="65170"/>
        <n v="2210"/>
        <n v="16800"/>
        <n v="3705"/>
        <n v="1600"/>
        <n v="28730"/>
        <n v="164295"/>
        <n v="4120"/>
        <n v="4250"/>
        <n v="54080"/>
        <n v="10575"/>
        <n v="5535"/>
        <n v="1187.5"/>
        <n v="6400"/>
        <n v="5100"/>
        <n v="1485"/>
        <n v="2992.5"/>
        <n v="650"/>
        <n v="6800"/>
        <n v="5040"/>
        <n v="3105"/>
        <n v="59755"/>
        <n v="12690"/>
        <n v="900"/>
        <n v="261675"/>
        <n v="117450"/>
        <n v="5940"/>
        <n v="9990"/>
        <n v="2400"/>
        <n v="2805"/>
        <n v="225750"/>
        <n v="3825"/>
        <n v="26790"/>
        <n v="40500"/>
        <n v="3400"/>
        <n v="18050"/>
        <n v="2612.5"/>
        <n v="45030"/>
        <n v="1140"/>
        <n v="8415"/>
        <n v="12000"/>
        <n v="3800"/>
        <n v="10395"/>
        <n v="5750"/>
        <n v="16500"/>
        <n v="11400"/>
        <n v="6080"/>
        <n v="8750"/>
        <n v="17600"/>
        <n v="25440"/>
        <n v="2295"/>
        <n v="11590"/>
        <n v="600"/>
        <n v="4930"/>
        <n v="6960"/>
        <n v="4080"/>
        <n v="9025"/>
        <n v="495"/>
        <n v="1120"/>
        <n v="3910"/>
        <n v="34880"/>
        <n v="2160"/>
        <n v="6630"/>
        <n v="33900"/>
        <n v="226080"/>
        <n v="53912.5"/>
        <n v="2880"/>
        <n v="4160"/>
        <n v="6000"/>
        <n v="1572.5"/>
        <n v="1890"/>
        <n v="7395"/>
        <n v="3442.5"/>
        <n v="194400"/>
        <n v="4675"/>
        <n v="28500"/>
        <n v="126240"/>
        <n v="3325"/>
        <n v="6500"/>
        <n v="5760"/>
        <n v="32062.5"/>
        <n v="4500"/>
        <n v="12160"/>
        <n v="18250"/>
        <n v="1900"/>
        <n v="11257.5"/>
        <n v="27000"/>
        <n v="5000"/>
        <n v="103020"/>
        <n v="2800"/>
        <n v="3200"/>
        <n v="21850"/>
        <n v="55200"/>
        <n v="22080"/>
        <n v="28680"/>
        <n v="8500"/>
        <n v="164100"/>
        <n v="80750"/>
        <n v="1190"/>
        <n v="19250"/>
        <n v="20500"/>
        <n v="2650"/>
        <n v="6160"/>
        <n v="880"/>
        <n v="1827.5"/>
        <n v="103250"/>
        <n v="5950"/>
        <n v="14450"/>
        <n v="15795"/>
        <n v="49860"/>
        <n v="3645"/>
        <n v="6750"/>
        <n v="107500"/>
        <n v="28620"/>
        <n v="34960"/>
        <n v="6840"/>
        <n v="260000"/>
        <n v="77330"/>
        <n v="92150"/>
        <n v="2550"/>
        <n v="4750"/>
        <n v="5985"/>
        <n v="31492.5"/>
        <n v="425"/>
        <n v="1147.5"/>
        <n v="49050"/>
        <n v="287512.5"/>
        <n v="33200"/>
        <n v="12065"/>
        <n v="13132.5"/>
        <n v="25287.5"/>
        <n v="2040"/>
        <n v="4720"/>
        <n v="70822.5"/>
        <n v="5160"/>
        <n v="5440"/>
        <n v="1800"/>
        <n v="3527.5"/>
        <n v="4420"/>
        <n v="33012.5"/>
        <n v="4200"/>
        <n v="1000"/>
        <n v="270800"/>
        <n v="3300"/>
        <n v="25515"/>
        <n v="3960"/>
        <n v="4950"/>
        <n v="47250"/>
        <n v="20800"/>
        <n v="3375"/>
        <n v="2635"/>
        <n v="5015"/>
        <n v="400"/>
        <n v="1912.5"/>
        <n v="18900"/>
        <n v="10000"/>
        <n v="2660"/>
        <n v="3920"/>
        <n v="522.5"/>
        <n v="11390"/>
        <n v="7600"/>
        <n v="617.5"/>
        <n v="1250"/>
        <n v="7250"/>
        <n v="4760"/>
        <n v="2560"/>
        <n v="5625"/>
        <n v="4462.5"/>
        <n v="3230"/>
        <n v="1440"/>
        <n v="158520"/>
        <n v="67500"/>
        <n v="120150"/>
        <n v="6200"/>
        <n v="30600"/>
        <n v="19620"/>
        <n v="720"/>
        <n v="115200"/>
        <n v="1710"/>
        <n v="2720"/>
        <n v="113600"/>
        <n v="17100"/>
        <n v="26055"/>
        <n v="13500"/>
        <n v="2025"/>
        <n v="4320"/>
        <n v="1300"/>
        <n v="189300"/>
        <n v="10830"/>
        <n v="142700"/>
        <n v="5850"/>
        <n v="145800"/>
        <n v="8032.5"/>
        <n v="2380"/>
        <n v="114840"/>
        <n v="3480"/>
        <n v="157320"/>
        <n v="4180"/>
        <n v="6270"/>
        <n v="1280"/>
        <n v="28900"/>
        <n v="22920"/>
        <n v="5695"/>
        <n v="93600"/>
        <n v="4590"/>
        <n v="23370"/>
        <n v="20000"/>
        <n v="4560"/>
        <n v="23880"/>
        <n v="2700"/>
        <n v="7267.5"/>
        <n v="8160"/>
        <n v="178560"/>
        <n v="13800"/>
        <n v="285"/>
        <n v="2137.5"/>
        <n v="17190"/>
        <n v="11730"/>
        <n v="1282.5"/>
        <n v="4335"/>
        <n v="8330"/>
        <n v="52487.5"/>
        <n v="26400"/>
        <n v="275500"/>
        <n v="700"/>
        <n v="10950"/>
        <n v="11200"/>
        <n v="20485"/>
        <n v="960"/>
        <n v="9400"/>
        <n v="30750"/>
        <n v="15010"/>
        <n v="945"/>
        <n v="405"/>
        <n v="30720"/>
        <n v="6075"/>
        <n v="132050"/>
        <n v="9350"/>
        <n v="9920"/>
        <n v="1920"/>
        <n v="2375"/>
        <n v="12420"/>
        <n v="16530"/>
        <n v="7680"/>
        <n v="28250"/>
        <n v="151810"/>
        <n v="510"/>
        <n v="11827.5"/>
        <n v="1450"/>
        <n v="13400"/>
        <n v="2945"/>
        <n v="2280"/>
        <n v="5225"/>
        <n v="15300"/>
        <n v="4655"/>
        <n v="382.5"/>
        <n v="10540"/>
        <n v="5400"/>
        <n v="1330"/>
        <n v="30637.5"/>
        <n v="7410"/>
        <n v="8265"/>
        <n v="9120"/>
        <n v="247680"/>
        <n v="3570"/>
        <n v="24600"/>
        <n v="1700"/>
        <n v="7350"/>
        <n v="23000"/>
        <n v="3612.5"/>
        <n v="5700"/>
        <n v="46395"/>
        <n v="192750"/>
        <n v="2890"/>
        <n v="33600"/>
        <n v="88500"/>
        <n v="1760"/>
        <n v="34480"/>
        <n v="5130"/>
        <n v="9800"/>
        <n v="3840"/>
        <n v="103725"/>
        <n v="190"/>
        <n v="110340"/>
        <n v="29500"/>
        <n v="4650"/>
        <n v="2762.5"/>
        <n v="3420"/>
        <n v="840"/>
        <n v="1840"/>
        <n v="105800"/>
        <n v="9720"/>
        <n v="3050"/>
        <n v="1980"/>
        <n v="1520"/>
        <n v="72000"/>
        <n v="19500"/>
        <n v="23400"/>
        <n v="1550"/>
        <n v="1020"/>
        <n v="5550"/>
        <n v="8040"/>
        <n v="32265"/>
        <n v="13680"/>
        <n v="1360"/>
        <n v="807.5"/>
        <n v="52020"/>
        <n v="24525"/>
        <n v="640"/>
        <n v="9040"/>
        <n v="9750"/>
        <n v="1445"/>
        <n v="3040"/>
        <n v="21750"/>
        <n v="5605"/>
        <n v="78900"/>
        <n v="183982.5"/>
        <n v="10200"/>
        <n v="6935"/>
        <n v="50250"/>
        <n v="9052.5"/>
        <n v="11475"/>
        <n v="2835"/>
        <n v="12750"/>
        <n v="8835"/>
        <n v="156600"/>
        <n v="5150"/>
        <n v="28560"/>
        <n v="3735"/>
        <n v="5610"/>
        <n v="179520"/>
        <n v="7155"/>
        <n v="12580"/>
        <n v="41400"/>
        <n v="56160"/>
        <n v="10400"/>
        <n v="950"/>
        <n v="8977.5"/>
        <n v="140790"/>
        <n v="246712.5"/>
        <n v="540"/>
        <n v="15960"/>
        <n v="146280"/>
        <n v="1530"/>
        <n v="2205"/>
        <n v="5200"/>
        <n v="1200"/>
        <n v="20330"/>
        <n v="11500"/>
        <n v="35370"/>
        <n v="42390"/>
        <n v="3145"/>
        <n v="23800"/>
        <n v="8000"/>
        <n v="2000"/>
        <n v="124695"/>
        <n v="977.5"/>
        <n v="12250"/>
        <n v="19350"/>
        <n v="21150"/>
        <n v="7695"/>
        <n v="9200"/>
        <n v="5600"/>
        <n v="31725"/>
        <n v="3250"/>
        <n v="8700"/>
        <n v="4360"/>
        <n v="112575"/>
        <n v="1275"/>
        <n v="850"/>
        <n v="11970"/>
        <n v="8250"/>
        <n v="2125"/>
        <n v="17280"/>
        <n v="169860"/>
        <n v="4000"/>
        <n v="355500"/>
        <n v="44400"/>
        <n v="7885"/>
        <n v="13940"/>
        <n v="7150"/>
        <n v="23512.5"/>
        <n v="712.5"/>
        <n v="6560"/>
        <n v="293000"/>
        <n v="165495"/>
        <n v="10710"/>
        <n v="440"/>
        <n v="19000"/>
        <n v="14400"/>
        <n v="5557.5"/>
        <n v="2790"/>
        <n v="23987.5"/>
        <n v="111815"/>
        <n v="31050"/>
        <n v="4940"/>
        <n v="14962.5"/>
        <n v="15215"/>
        <n v="34850"/>
        <n v="1350"/>
        <n v="237.5"/>
        <n v="20160"/>
        <n v="1487.5"/>
        <n v="17200"/>
        <n v="348500"/>
        <n v="6240"/>
        <n v="6460"/>
      </sharedItems>
    </cacheField>
    <cacheField name="Cost" numFmtId="0">
      <sharedItems containsSemiMixedTypes="0" containsString="0" containsNumber="1" minValue="106.86" maxValue="255701.17"/>
    </cacheField>
    <cacheField name="Profit" numFmtId="0">
      <sharedItems containsSemiMixedTypes="0" containsString="0" containsNumber="1" minValue="66.33" maxValue="122730.83"/>
    </cacheField>
    <cacheField name="Payment_Method" numFmtId="0">
      <sharedItems count="5">
        <s v="Net Banking"/>
        <s v="Credit Card"/>
        <s v="Debit Card"/>
        <s v="UPI"/>
        <s v="Cash on Delivery"/>
      </sharedItems>
    </cacheField>
    <cacheField name="Days (Order_Date)" numFmtId="0" databaseField="0">
      <fieldGroup base="1">
        <rangePr groupBy="days" startDate="2026-01-01T00:00:00" endDate="2027-01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7"/>
        </groupItems>
      </fieldGroup>
    </cacheField>
    <cacheField name="Months (Order_Date)" numFmtId="0" databaseField="0">
      <fieldGroup base="1">
        <rangePr groupBy="months" startDate="2026-01-01T00:00:00" endDate="2027-01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01"/>
    <x v="0"/>
    <s v="CUST0140"/>
    <x v="0"/>
    <x v="0"/>
    <x v="0"/>
    <n v="3"/>
    <n v="33300"/>
    <n v="5"/>
    <x v="0"/>
    <n v="55773.32"/>
    <n v="39131.68"/>
    <x v="0"/>
  </r>
  <r>
    <s v="ORD00002"/>
    <x v="1"/>
    <s v="CUST0007"/>
    <x v="1"/>
    <x v="1"/>
    <x v="1"/>
    <n v="1"/>
    <n v="600"/>
    <n v="5"/>
    <x v="1"/>
    <n v="349.31"/>
    <n v="220.69"/>
    <x v="1"/>
  </r>
  <r>
    <s v="ORD00003"/>
    <x v="2"/>
    <s v="CUST0041"/>
    <x v="2"/>
    <x v="2"/>
    <x v="2"/>
    <n v="2"/>
    <n v="1050"/>
    <n v="20"/>
    <x v="2"/>
    <n v="1050.19"/>
    <n v="629.80999999999995"/>
    <x v="2"/>
  </r>
  <r>
    <s v="ORD00004"/>
    <x v="3"/>
    <s v="CUST0092"/>
    <x v="3"/>
    <x v="3"/>
    <x v="3"/>
    <n v="2"/>
    <n v="3150"/>
    <n v="0"/>
    <x v="3"/>
    <n v="3622.76"/>
    <n v="2677.24"/>
    <x v="0"/>
  </r>
  <r>
    <s v="ORD00005"/>
    <x v="4"/>
    <s v="CUST0021"/>
    <x v="1"/>
    <x v="3"/>
    <x v="4"/>
    <n v="4"/>
    <n v="4800"/>
    <n v="0"/>
    <x v="4"/>
    <n v="15604.63"/>
    <n v="3595.37"/>
    <x v="2"/>
  </r>
  <r>
    <s v="ORD00006"/>
    <x v="5"/>
    <s v="CUST0075"/>
    <x v="0"/>
    <x v="2"/>
    <x v="5"/>
    <n v="5"/>
    <n v="550"/>
    <n v="0"/>
    <x v="5"/>
    <n v="1546.52"/>
    <n v="1203.48"/>
    <x v="1"/>
  </r>
  <r>
    <s v="ORD00007"/>
    <x v="6"/>
    <s v="CUST0054"/>
    <x v="4"/>
    <x v="0"/>
    <x v="6"/>
    <n v="3"/>
    <n v="60650"/>
    <n v="10"/>
    <x v="6"/>
    <n v="97256.81"/>
    <n v="66498.19"/>
    <x v="3"/>
  </r>
  <r>
    <s v="ORD00008"/>
    <x v="7"/>
    <s v="CUST0070"/>
    <x v="1"/>
    <x v="2"/>
    <x v="7"/>
    <n v="5"/>
    <n v="1650"/>
    <n v="5"/>
    <x v="7"/>
    <n v="4656.41"/>
    <n v="3181.09"/>
    <x v="1"/>
  </r>
  <r>
    <s v="ORD00009"/>
    <x v="8"/>
    <s v="CUST0055"/>
    <x v="5"/>
    <x v="3"/>
    <x v="4"/>
    <n v="2"/>
    <n v="650"/>
    <n v="10"/>
    <x v="8"/>
    <n v="770.23"/>
    <n v="399.77"/>
    <x v="2"/>
  </r>
  <r>
    <s v="ORD00010"/>
    <x v="9"/>
    <s v="CUST0064"/>
    <x v="1"/>
    <x v="4"/>
    <x v="8"/>
    <n v="4"/>
    <n v="11050"/>
    <n v="15"/>
    <x v="9"/>
    <n v="22112.78"/>
    <n v="15457.22"/>
    <x v="0"/>
  </r>
  <r>
    <s v="ORD00011"/>
    <x v="10"/>
    <s v="CUST0131"/>
    <x v="6"/>
    <x v="3"/>
    <x v="9"/>
    <n v="4"/>
    <n v="5200"/>
    <n v="15"/>
    <x v="10"/>
    <n v="11452.03"/>
    <n v="6227.97"/>
    <x v="3"/>
  </r>
  <r>
    <s v="ORD00012"/>
    <x v="11"/>
    <s v="CUST0098"/>
    <x v="5"/>
    <x v="0"/>
    <x v="0"/>
    <n v="2"/>
    <n v="22150"/>
    <n v="15"/>
    <x v="11"/>
    <n v="26773.85"/>
    <n v="10881.15"/>
    <x v="4"/>
  </r>
  <r>
    <s v="ORD00013"/>
    <x v="12"/>
    <s v="CUST0069"/>
    <x v="3"/>
    <x v="2"/>
    <x v="5"/>
    <n v="5"/>
    <n v="150"/>
    <n v="0"/>
    <x v="12"/>
    <n v="550.54999999999995"/>
    <n v="199.45"/>
    <x v="3"/>
  </r>
  <r>
    <s v="ORD00014"/>
    <x v="13"/>
    <s v="CUST0129"/>
    <x v="7"/>
    <x v="3"/>
    <x v="10"/>
    <n v="2"/>
    <n v="4100"/>
    <n v="0"/>
    <x v="13"/>
    <n v="6621.75"/>
    <n v="1578.25"/>
    <x v="0"/>
  </r>
  <r>
    <s v="ORD00015"/>
    <x v="14"/>
    <s v="CUST0139"/>
    <x v="1"/>
    <x v="0"/>
    <x v="11"/>
    <n v="5"/>
    <n v="27250"/>
    <n v="5"/>
    <x v="14"/>
    <n v="84258.21"/>
    <n v="45179.29"/>
    <x v="3"/>
  </r>
  <r>
    <s v="ORD00016"/>
    <x v="15"/>
    <s v="CUST0062"/>
    <x v="8"/>
    <x v="2"/>
    <x v="5"/>
    <n v="4"/>
    <n v="200"/>
    <n v="0"/>
    <x v="15"/>
    <n v="640.69000000000005"/>
    <n v="159.31"/>
    <x v="1"/>
  </r>
  <r>
    <s v="ORD00017"/>
    <x v="16"/>
    <s v="CUST0033"/>
    <x v="7"/>
    <x v="2"/>
    <x v="12"/>
    <n v="1"/>
    <n v="1650"/>
    <n v="15"/>
    <x v="16"/>
    <n v="1080.3800000000001"/>
    <n v="322.12"/>
    <x v="4"/>
  </r>
  <r>
    <s v="ORD00018"/>
    <x v="17"/>
    <s v="CUST0139"/>
    <x v="9"/>
    <x v="2"/>
    <x v="7"/>
    <n v="3"/>
    <n v="1250"/>
    <n v="20"/>
    <x v="17"/>
    <n v="1992.74"/>
    <n v="1007.26"/>
    <x v="2"/>
  </r>
  <r>
    <s v="ORD00019"/>
    <x v="18"/>
    <s v="CUST0017"/>
    <x v="3"/>
    <x v="1"/>
    <x v="13"/>
    <n v="4"/>
    <n v="2300"/>
    <n v="15"/>
    <x v="18"/>
    <n v="4556.49"/>
    <n v="3263.51"/>
    <x v="3"/>
  </r>
  <r>
    <s v="ORD00020"/>
    <x v="19"/>
    <s v="CUST0016"/>
    <x v="9"/>
    <x v="2"/>
    <x v="14"/>
    <n v="2"/>
    <n v="1350"/>
    <n v="5"/>
    <x v="19"/>
    <n v="1415.73"/>
    <n v="1149.27"/>
    <x v="3"/>
  </r>
  <r>
    <s v="ORD00021"/>
    <x v="20"/>
    <s v="CUST0055"/>
    <x v="1"/>
    <x v="0"/>
    <x v="11"/>
    <n v="1"/>
    <n v="68600"/>
    <n v="5"/>
    <x v="20"/>
    <n v="40743.56"/>
    <n v="24426.44"/>
    <x v="1"/>
  </r>
  <r>
    <s v="ORD00022"/>
    <x v="21"/>
    <s v="CUST0025"/>
    <x v="0"/>
    <x v="2"/>
    <x v="14"/>
    <n v="4"/>
    <n v="650"/>
    <n v="15"/>
    <x v="21"/>
    <n v="1697.33"/>
    <n v="512.66999999999996"/>
    <x v="4"/>
  </r>
  <r>
    <s v="ORD00023"/>
    <x v="22"/>
    <s v="CUST0026"/>
    <x v="8"/>
    <x v="3"/>
    <x v="10"/>
    <n v="4"/>
    <n v="4200"/>
    <n v="0"/>
    <x v="22"/>
    <n v="12294.38"/>
    <n v="4505.62"/>
    <x v="4"/>
  </r>
  <r>
    <s v="ORD00024"/>
    <x v="9"/>
    <s v="CUST0109"/>
    <x v="7"/>
    <x v="3"/>
    <x v="4"/>
    <n v="2"/>
    <n v="1950"/>
    <n v="5"/>
    <x v="23"/>
    <n v="2574.2199999999998"/>
    <n v="1130.78"/>
    <x v="2"/>
  </r>
  <r>
    <s v="ORD00025"/>
    <x v="23"/>
    <s v="CUST0139"/>
    <x v="8"/>
    <x v="1"/>
    <x v="15"/>
    <n v="1"/>
    <n v="2000"/>
    <n v="20"/>
    <x v="24"/>
    <n v="922.3"/>
    <n v="677.7"/>
    <x v="3"/>
  </r>
  <r>
    <s v="ORD00026"/>
    <x v="24"/>
    <s v="CUST0016"/>
    <x v="7"/>
    <x v="4"/>
    <x v="16"/>
    <n v="4"/>
    <n v="8450"/>
    <n v="15"/>
    <x v="25"/>
    <n v="17459.560000000001"/>
    <n v="11270.44"/>
    <x v="4"/>
  </r>
  <r>
    <s v="ORD00027"/>
    <x v="25"/>
    <s v="CUST0125"/>
    <x v="7"/>
    <x v="0"/>
    <x v="6"/>
    <n v="3"/>
    <n v="60850"/>
    <n v="10"/>
    <x v="26"/>
    <n v="109126.71"/>
    <n v="55168.29"/>
    <x v="1"/>
  </r>
  <r>
    <s v="ORD00028"/>
    <x v="26"/>
    <s v="CUST0015"/>
    <x v="8"/>
    <x v="3"/>
    <x v="3"/>
    <n v="1"/>
    <n v="5150"/>
    <n v="20"/>
    <x v="27"/>
    <n v="2333.81"/>
    <n v="1786.19"/>
    <x v="0"/>
  </r>
  <r>
    <s v="ORD00029"/>
    <x v="27"/>
    <s v="CUST0048"/>
    <x v="0"/>
    <x v="1"/>
    <x v="17"/>
    <n v="5"/>
    <n v="850"/>
    <n v="0"/>
    <x v="28"/>
    <n v="3439.99"/>
    <n v="810.01"/>
    <x v="0"/>
  </r>
  <r>
    <s v="ORD00030"/>
    <x v="28"/>
    <s v="CUST0011"/>
    <x v="5"/>
    <x v="0"/>
    <x v="18"/>
    <n v="4"/>
    <n v="16900"/>
    <n v="20"/>
    <x v="29"/>
    <n v="33339.14"/>
    <n v="20740.86"/>
    <x v="3"/>
  </r>
  <r>
    <s v="ORD00031"/>
    <x v="29"/>
    <s v="CUST0081"/>
    <x v="9"/>
    <x v="1"/>
    <x v="17"/>
    <n v="5"/>
    <n v="2350"/>
    <n v="10"/>
    <x v="30"/>
    <n v="8485.07"/>
    <n v="2089.9299999999998"/>
    <x v="2"/>
  </r>
  <r>
    <s v="ORD00032"/>
    <x v="30"/>
    <s v="CUST0003"/>
    <x v="6"/>
    <x v="1"/>
    <x v="15"/>
    <n v="3"/>
    <n v="2050"/>
    <n v="10"/>
    <x v="31"/>
    <n v="4432.62"/>
    <n v="1102.3800000000001"/>
    <x v="0"/>
  </r>
  <r>
    <s v="ORD00033"/>
    <x v="31"/>
    <s v="CUST0090"/>
    <x v="0"/>
    <x v="2"/>
    <x v="12"/>
    <n v="1"/>
    <n v="1250"/>
    <n v="5"/>
    <x v="32"/>
    <n v="815.32"/>
    <n v="372.18"/>
    <x v="1"/>
  </r>
  <r>
    <s v="ORD00034"/>
    <x v="32"/>
    <s v="CUST0136"/>
    <x v="8"/>
    <x v="3"/>
    <x v="19"/>
    <n v="2"/>
    <n v="4000"/>
    <n v="20"/>
    <x v="33"/>
    <n v="4735.72"/>
    <n v="1664.28"/>
    <x v="0"/>
  </r>
  <r>
    <s v="ORD00035"/>
    <x v="33"/>
    <s v="CUST0040"/>
    <x v="4"/>
    <x v="3"/>
    <x v="4"/>
    <n v="2"/>
    <n v="2550"/>
    <n v="0"/>
    <x v="34"/>
    <n v="4030.13"/>
    <n v="1069.8699999999999"/>
    <x v="2"/>
  </r>
  <r>
    <s v="ORD00036"/>
    <x v="34"/>
    <s v="CUST0014"/>
    <x v="0"/>
    <x v="2"/>
    <x v="7"/>
    <n v="3"/>
    <n v="550"/>
    <n v="10"/>
    <x v="35"/>
    <n v="1019.39"/>
    <n v="465.61"/>
    <x v="4"/>
  </r>
  <r>
    <s v="ORD00037"/>
    <x v="13"/>
    <s v="CUST0042"/>
    <x v="6"/>
    <x v="3"/>
    <x v="4"/>
    <n v="1"/>
    <n v="3150"/>
    <n v="5"/>
    <x v="36"/>
    <n v="2160.65"/>
    <n v="831.85"/>
    <x v="0"/>
  </r>
  <r>
    <s v="ORD00038"/>
    <x v="35"/>
    <s v="CUST0039"/>
    <x v="1"/>
    <x v="1"/>
    <x v="17"/>
    <n v="1"/>
    <n v="650"/>
    <n v="0"/>
    <x v="37"/>
    <n v="523.36"/>
    <n v="126.64"/>
    <x v="3"/>
  </r>
  <r>
    <s v="ORD00039"/>
    <x v="15"/>
    <s v="CUST0094"/>
    <x v="8"/>
    <x v="3"/>
    <x v="9"/>
    <n v="5"/>
    <n v="1600"/>
    <n v="15"/>
    <x v="38"/>
    <n v="3973.99"/>
    <n v="2826.01"/>
    <x v="2"/>
  </r>
  <r>
    <s v="ORD00040"/>
    <x v="36"/>
    <s v="CUST0040"/>
    <x v="9"/>
    <x v="4"/>
    <x v="16"/>
    <n v="1"/>
    <n v="6300"/>
    <n v="20"/>
    <x v="39"/>
    <n v="3975.13"/>
    <n v="1064.8699999999999"/>
    <x v="1"/>
  </r>
  <r>
    <s v="ORD00041"/>
    <x v="37"/>
    <s v="CUST0064"/>
    <x v="4"/>
    <x v="4"/>
    <x v="8"/>
    <n v="1"/>
    <n v="3450"/>
    <n v="10"/>
    <x v="40"/>
    <n v="2363.66"/>
    <n v="741.34"/>
    <x v="1"/>
  </r>
  <r>
    <s v="ORD00042"/>
    <x v="38"/>
    <s v="CUST0090"/>
    <x v="4"/>
    <x v="0"/>
    <x v="6"/>
    <n v="1"/>
    <n v="62900"/>
    <n v="5"/>
    <x v="41"/>
    <n v="36085.129999999997"/>
    <n v="23669.87"/>
    <x v="1"/>
  </r>
  <r>
    <s v="ORD00043"/>
    <x v="39"/>
    <s v="CUST0072"/>
    <x v="3"/>
    <x v="4"/>
    <x v="20"/>
    <n v="2"/>
    <n v="7050"/>
    <n v="10"/>
    <x v="42"/>
    <n v="7934.08"/>
    <n v="4755.92"/>
    <x v="0"/>
  </r>
  <r>
    <s v="ORD00044"/>
    <x v="40"/>
    <s v="CUST0046"/>
    <x v="5"/>
    <x v="1"/>
    <x v="17"/>
    <n v="3"/>
    <n v="300"/>
    <n v="0"/>
    <x v="43"/>
    <n v="708.12"/>
    <n v="191.88"/>
    <x v="2"/>
  </r>
  <r>
    <s v="ORD00045"/>
    <x v="26"/>
    <s v="CUST0112"/>
    <x v="5"/>
    <x v="0"/>
    <x v="0"/>
    <n v="5"/>
    <n v="58150"/>
    <n v="10"/>
    <x v="44"/>
    <n v="195394.6"/>
    <n v="66280.399999999994"/>
    <x v="0"/>
  </r>
  <r>
    <s v="ORD00046"/>
    <x v="41"/>
    <s v="CUST0001"/>
    <x v="1"/>
    <x v="0"/>
    <x v="6"/>
    <n v="5"/>
    <n v="26100"/>
    <n v="10"/>
    <x v="45"/>
    <n v="66005.06"/>
    <n v="51444.94"/>
    <x v="0"/>
  </r>
  <r>
    <s v="ORD00047"/>
    <x v="42"/>
    <s v="CUST0032"/>
    <x v="4"/>
    <x v="4"/>
    <x v="21"/>
    <n v="4"/>
    <n v="1650"/>
    <n v="10"/>
    <x v="46"/>
    <n v="4266.42"/>
    <n v="1673.58"/>
    <x v="0"/>
  </r>
  <r>
    <s v="ORD00048"/>
    <x v="43"/>
    <s v="CUST0108"/>
    <x v="2"/>
    <x v="3"/>
    <x v="10"/>
    <n v="3"/>
    <n v="3700"/>
    <n v="10"/>
    <x v="47"/>
    <n v="6989.92"/>
    <n v="3000.08"/>
    <x v="1"/>
  </r>
  <r>
    <s v="ORD00049"/>
    <x v="44"/>
    <s v="CUST0074"/>
    <x v="9"/>
    <x v="2"/>
    <x v="14"/>
    <n v="3"/>
    <n v="1000"/>
    <n v="20"/>
    <x v="48"/>
    <n v="1860.25"/>
    <n v="539.75"/>
    <x v="4"/>
  </r>
  <r>
    <s v="ORD00050"/>
    <x v="45"/>
    <s v="CUST0131"/>
    <x v="6"/>
    <x v="2"/>
    <x v="14"/>
    <n v="3"/>
    <n v="1100"/>
    <n v="15"/>
    <x v="49"/>
    <n v="1877.62"/>
    <n v="927.38"/>
    <x v="1"/>
  </r>
  <r>
    <s v="ORD00051"/>
    <x v="46"/>
    <s v="CUST0080"/>
    <x v="9"/>
    <x v="0"/>
    <x v="11"/>
    <n v="5"/>
    <n v="45150"/>
    <n v="0"/>
    <x v="50"/>
    <n v="174047.46"/>
    <n v="51702.54"/>
    <x v="1"/>
  </r>
  <r>
    <s v="ORD00052"/>
    <x v="30"/>
    <s v="CUST0117"/>
    <x v="2"/>
    <x v="4"/>
    <x v="20"/>
    <n v="1"/>
    <n v="4500"/>
    <n v="15"/>
    <x v="51"/>
    <n v="2735.04"/>
    <n v="1089.96"/>
    <x v="0"/>
  </r>
  <r>
    <s v="ORD00053"/>
    <x v="47"/>
    <s v="CUST0002"/>
    <x v="0"/>
    <x v="4"/>
    <x v="8"/>
    <n v="4"/>
    <n v="7050"/>
    <n v="5"/>
    <x v="52"/>
    <n v="15801.93"/>
    <n v="10988.07"/>
    <x v="4"/>
  </r>
  <r>
    <s v="ORD00054"/>
    <x v="48"/>
    <s v="CUST0117"/>
    <x v="7"/>
    <x v="4"/>
    <x v="16"/>
    <n v="5"/>
    <n v="8100"/>
    <n v="0"/>
    <x v="53"/>
    <n v="28370.23"/>
    <n v="12129.77"/>
    <x v="4"/>
  </r>
  <r>
    <s v="ORD00055"/>
    <x v="49"/>
    <s v="CUST0110"/>
    <x v="1"/>
    <x v="2"/>
    <x v="14"/>
    <n v="5"/>
    <n v="800"/>
    <n v="15"/>
    <x v="54"/>
    <n v="2432.41"/>
    <n v="967.59"/>
    <x v="4"/>
  </r>
  <r>
    <s v="ORD00056"/>
    <x v="50"/>
    <s v="CUST0134"/>
    <x v="6"/>
    <x v="4"/>
    <x v="8"/>
    <n v="4"/>
    <n v="4750"/>
    <n v="5"/>
    <x v="55"/>
    <n v="14020.57"/>
    <n v="4029.43"/>
    <x v="1"/>
  </r>
  <r>
    <s v="ORD00057"/>
    <x v="51"/>
    <s v="CUST0139"/>
    <x v="0"/>
    <x v="3"/>
    <x v="10"/>
    <n v="1"/>
    <n v="2750"/>
    <n v="5"/>
    <x v="56"/>
    <n v="1628.54"/>
    <n v="983.96"/>
    <x v="1"/>
  </r>
  <r>
    <s v="ORD00058"/>
    <x v="52"/>
    <s v="CUST0107"/>
    <x v="2"/>
    <x v="4"/>
    <x v="16"/>
    <n v="4"/>
    <n v="11850"/>
    <n v="5"/>
    <x v="57"/>
    <n v="33355.21"/>
    <n v="11674.79"/>
    <x v="2"/>
  </r>
  <r>
    <s v="ORD00059"/>
    <x v="53"/>
    <s v="CUST0150"/>
    <x v="8"/>
    <x v="2"/>
    <x v="2"/>
    <n v="4"/>
    <n v="300"/>
    <n v="5"/>
    <x v="58"/>
    <n v="883.36"/>
    <n v="256.64"/>
    <x v="0"/>
  </r>
  <r>
    <s v="ORD00060"/>
    <x v="54"/>
    <s v="CUST0138"/>
    <x v="1"/>
    <x v="1"/>
    <x v="22"/>
    <n v="1"/>
    <n v="1650"/>
    <n v="10"/>
    <x v="35"/>
    <n v="1118.8599999999999"/>
    <n v="366.14"/>
    <x v="0"/>
  </r>
  <r>
    <s v="ORD00061"/>
    <x v="53"/>
    <s v="CUST0087"/>
    <x v="2"/>
    <x v="4"/>
    <x v="8"/>
    <n v="2"/>
    <n v="4950"/>
    <n v="15"/>
    <x v="59"/>
    <n v="5731.65"/>
    <n v="2683.35"/>
    <x v="1"/>
  </r>
  <r>
    <s v="ORD00062"/>
    <x v="55"/>
    <s v="CUST0145"/>
    <x v="8"/>
    <x v="1"/>
    <x v="15"/>
    <n v="5"/>
    <n v="2400"/>
    <n v="0"/>
    <x v="60"/>
    <n v="9538.4500000000007"/>
    <n v="2461.5500000000002"/>
    <x v="3"/>
  </r>
  <r>
    <s v="ORD00063"/>
    <x v="56"/>
    <s v="CUST0055"/>
    <x v="6"/>
    <x v="1"/>
    <x v="15"/>
    <n v="4"/>
    <n v="950"/>
    <n v="0"/>
    <x v="61"/>
    <n v="2356.92"/>
    <n v="1443.08"/>
    <x v="2"/>
  </r>
  <r>
    <s v="ORD00064"/>
    <x v="57"/>
    <s v="CUST0005"/>
    <x v="1"/>
    <x v="3"/>
    <x v="10"/>
    <n v="3"/>
    <n v="3850"/>
    <n v="10"/>
    <x v="62"/>
    <n v="8060.55"/>
    <n v="2334.4499999999998"/>
    <x v="3"/>
  </r>
  <r>
    <s v="ORD00065"/>
    <x v="58"/>
    <s v="CUST0052"/>
    <x v="8"/>
    <x v="3"/>
    <x v="3"/>
    <n v="1"/>
    <n v="5750"/>
    <n v="0"/>
    <x v="63"/>
    <n v="4333.45"/>
    <n v="1416.55"/>
    <x v="0"/>
  </r>
  <r>
    <s v="ORD00066"/>
    <x v="59"/>
    <s v="CUST0120"/>
    <x v="4"/>
    <x v="4"/>
    <x v="16"/>
    <n v="2"/>
    <n v="8250"/>
    <n v="0"/>
    <x v="64"/>
    <n v="11587.48"/>
    <n v="4912.5200000000004"/>
    <x v="2"/>
  </r>
  <r>
    <s v="ORD00067"/>
    <x v="60"/>
    <s v="CUST0149"/>
    <x v="8"/>
    <x v="4"/>
    <x v="23"/>
    <n v="5"/>
    <n v="2400"/>
    <n v="5"/>
    <x v="65"/>
    <n v="9239.41"/>
    <n v="2160.59"/>
    <x v="2"/>
  </r>
  <r>
    <s v="ORD00068"/>
    <x v="35"/>
    <s v="CUST0063"/>
    <x v="0"/>
    <x v="2"/>
    <x v="2"/>
    <n v="4"/>
    <n v="1600"/>
    <n v="5"/>
    <x v="66"/>
    <n v="3468.76"/>
    <n v="2611.2399999999998"/>
    <x v="2"/>
  </r>
  <r>
    <s v="ORD00069"/>
    <x v="61"/>
    <s v="CUST0095"/>
    <x v="0"/>
    <x v="2"/>
    <x v="12"/>
    <n v="5"/>
    <n v="1750"/>
    <n v="0"/>
    <x v="67"/>
    <n v="5632.77"/>
    <n v="3117.23"/>
    <x v="0"/>
  </r>
  <r>
    <s v="ORD00070"/>
    <x v="62"/>
    <s v="CUST0118"/>
    <x v="7"/>
    <x v="3"/>
    <x v="4"/>
    <n v="4"/>
    <n v="4400"/>
    <n v="0"/>
    <x v="68"/>
    <n v="11740.1"/>
    <n v="5859.9"/>
    <x v="4"/>
  </r>
  <r>
    <s v="ORD00071"/>
    <x v="63"/>
    <s v="CUST0112"/>
    <x v="5"/>
    <x v="4"/>
    <x v="23"/>
    <n v="3"/>
    <n v="10600"/>
    <n v="20"/>
    <x v="69"/>
    <n v="19312.86"/>
    <n v="6127.14"/>
    <x v="2"/>
  </r>
  <r>
    <s v="ORD00072"/>
    <x v="64"/>
    <s v="CUST0146"/>
    <x v="5"/>
    <x v="3"/>
    <x v="3"/>
    <n v="1"/>
    <n v="2700"/>
    <n v="15"/>
    <x v="70"/>
    <n v="1413.36"/>
    <n v="881.64"/>
    <x v="4"/>
  </r>
  <r>
    <s v="ORD00073"/>
    <x v="6"/>
    <s v="CUST0067"/>
    <x v="3"/>
    <x v="3"/>
    <x v="4"/>
    <n v="4"/>
    <n v="3050"/>
    <n v="5"/>
    <x v="71"/>
    <n v="7900.19"/>
    <n v="3689.81"/>
    <x v="2"/>
  </r>
  <r>
    <s v="ORD00074"/>
    <x v="65"/>
    <s v="CUST0062"/>
    <x v="2"/>
    <x v="2"/>
    <x v="5"/>
    <n v="5"/>
    <n v="150"/>
    <n v="20"/>
    <x v="72"/>
    <n v="483.59"/>
    <n v="116.41"/>
    <x v="4"/>
  </r>
  <r>
    <s v="ORD00075"/>
    <x v="66"/>
    <s v="CUST0024"/>
    <x v="4"/>
    <x v="2"/>
    <x v="7"/>
    <n v="4"/>
    <n v="1450"/>
    <n v="15"/>
    <x v="73"/>
    <n v="3308.07"/>
    <n v="1621.93"/>
    <x v="1"/>
  </r>
  <r>
    <s v="ORD00076"/>
    <x v="33"/>
    <s v="CUST0136"/>
    <x v="3"/>
    <x v="1"/>
    <x v="15"/>
    <n v="3"/>
    <n v="2900"/>
    <n v="20"/>
    <x v="74"/>
    <n v="4521.46"/>
    <n v="2438.54"/>
    <x v="4"/>
  </r>
  <r>
    <s v="ORD00077"/>
    <x v="34"/>
    <s v="CUST0060"/>
    <x v="0"/>
    <x v="2"/>
    <x v="5"/>
    <n v="3"/>
    <n v="1600"/>
    <n v="15"/>
    <x v="75"/>
    <n v="2542.44"/>
    <n v="1537.56"/>
    <x v="1"/>
  </r>
  <r>
    <s v="ORD00078"/>
    <x v="67"/>
    <s v="CUST0071"/>
    <x v="5"/>
    <x v="3"/>
    <x v="4"/>
    <n v="5"/>
    <n v="1900"/>
    <n v="5"/>
    <x v="76"/>
    <n v="5491.03"/>
    <n v="3533.97"/>
    <x v="0"/>
  </r>
  <r>
    <s v="ORD00079"/>
    <x v="68"/>
    <s v="CUST0078"/>
    <x v="8"/>
    <x v="2"/>
    <x v="5"/>
    <n v="1"/>
    <n v="550"/>
    <n v="10"/>
    <x v="77"/>
    <n v="302.64999999999998"/>
    <n v="192.35"/>
    <x v="0"/>
  </r>
  <r>
    <s v="ORD00080"/>
    <x v="69"/>
    <s v="CUST0126"/>
    <x v="0"/>
    <x v="4"/>
    <x v="21"/>
    <n v="1"/>
    <n v="1400"/>
    <n v="20"/>
    <x v="78"/>
    <n v="704.34"/>
    <n v="415.66"/>
    <x v="3"/>
  </r>
  <r>
    <s v="ORD00081"/>
    <x v="70"/>
    <s v="CUST0065"/>
    <x v="6"/>
    <x v="2"/>
    <x v="5"/>
    <n v="4"/>
    <n v="1150"/>
    <n v="15"/>
    <x v="79"/>
    <n v="2510.1799999999998"/>
    <n v="1399.82"/>
    <x v="3"/>
  </r>
  <r>
    <s v="ORD00082"/>
    <x v="71"/>
    <s v="CUST0039"/>
    <x v="7"/>
    <x v="0"/>
    <x v="6"/>
    <n v="4"/>
    <n v="10900"/>
    <n v="20"/>
    <x v="80"/>
    <n v="25111.87"/>
    <n v="9768.1299999999992"/>
    <x v="0"/>
  </r>
  <r>
    <s v="ORD00083"/>
    <x v="72"/>
    <s v="CUST0058"/>
    <x v="1"/>
    <x v="3"/>
    <x v="4"/>
    <n v="2"/>
    <n v="1350"/>
    <n v="20"/>
    <x v="81"/>
    <n v="1633.82"/>
    <n v="526.17999999999995"/>
    <x v="4"/>
  </r>
  <r>
    <s v="ORD00084"/>
    <x v="73"/>
    <s v="CUST0016"/>
    <x v="5"/>
    <x v="1"/>
    <x v="22"/>
    <n v="3"/>
    <n v="2600"/>
    <n v="15"/>
    <x v="82"/>
    <n v="4193.16"/>
    <n v="2436.84"/>
    <x v="3"/>
  </r>
  <r>
    <s v="ORD00085"/>
    <x v="74"/>
    <s v="CUST0142"/>
    <x v="0"/>
    <x v="4"/>
    <x v="16"/>
    <n v="3"/>
    <n v="11300"/>
    <n v="0"/>
    <x v="83"/>
    <n v="20082.54"/>
    <n v="13817.46"/>
    <x v="1"/>
  </r>
  <r>
    <s v="ORD00086"/>
    <x v="75"/>
    <s v="CUST0073"/>
    <x v="6"/>
    <x v="0"/>
    <x v="6"/>
    <n v="4"/>
    <n v="62800"/>
    <n v="10"/>
    <x v="84"/>
    <n v="126336.39"/>
    <n v="99743.61"/>
    <x v="3"/>
  </r>
  <r>
    <s v="ORD00087"/>
    <x v="76"/>
    <s v="CUST0058"/>
    <x v="7"/>
    <x v="4"/>
    <x v="21"/>
    <n v="5"/>
    <n v="11350"/>
    <n v="5"/>
    <x v="85"/>
    <n v="35840.36"/>
    <n v="18072.14"/>
    <x v="2"/>
  </r>
  <r>
    <s v="ORD00088"/>
    <x v="77"/>
    <s v="CUST0074"/>
    <x v="6"/>
    <x v="4"/>
    <x v="20"/>
    <n v="1"/>
    <n v="3200"/>
    <n v="10"/>
    <x v="86"/>
    <n v="2046.71"/>
    <n v="833.29"/>
    <x v="3"/>
  </r>
  <r>
    <s v="ORD00089"/>
    <x v="78"/>
    <s v="CUST0021"/>
    <x v="5"/>
    <x v="1"/>
    <x v="13"/>
    <n v="4"/>
    <n v="1300"/>
    <n v="20"/>
    <x v="87"/>
    <n v="2894.51"/>
    <n v="1265.49"/>
    <x v="3"/>
  </r>
  <r>
    <s v="ORD00090"/>
    <x v="79"/>
    <s v="CUST0148"/>
    <x v="5"/>
    <x v="1"/>
    <x v="13"/>
    <n v="5"/>
    <n v="1200"/>
    <n v="0"/>
    <x v="88"/>
    <n v="3447.95"/>
    <n v="2552.0500000000002"/>
    <x v="3"/>
  </r>
  <r>
    <s v="ORD00091"/>
    <x v="80"/>
    <s v="CUST0072"/>
    <x v="7"/>
    <x v="3"/>
    <x v="9"/>
    <n v="1"/>
    <n v="1850"/>
    <n v="15"/>
    <x v="89"/>
    <n v="1085.21"/>
    <n v="487.29"/>
    <x v="0"/>
  </r>
  <r>
    <s v="ORD00092"/>
    <x v="81"/>
    <s v="CUST0027"/>
    <x v="7"/>
    <x v="1"/>
    <x v="22"/>
    <n v="1"/>
    <n v="2100"/>
    <n v="10"/>
    <x v="90"/>
    <n v="1247.8800000000001"/>
    <n v="642.12"/>
    <x v="2"/>
  </r>
  <r>
    <s v="ORD00093"/>
    <x v="82"/>
    <s v="CUST0010"/>
    <x v="6"/>
    <x v="1"/>
    <x v="22"/>
    <n v="3"/>
    <n v="2900"/>
    <n v="15"/>
    <x v="91"/>
    <n v="5691.66"/>
    <n v="1703.34"/>
    <x v="3"/>
  </r>
  <r>
    <s v="ORD00094"/>
    <x v="83"/>
    <s v="CUST0139"/>
    <x v="6"/>
    <x v="3"/>
    <x v="19"/>
    <n v="3"/>
    <n v="1350"/>
    <n v="15"/>
    <x v="92"/>
    <n v="2697.29"/>
    <n v="745.21"/>
    <x v="4"/>
  </r>
  <r>
    <s v="ORD00095"/>
    <x v="84"/>
    <s v="CUST0114"/>
    <x v="8"/>
    <x v="0"/>
    <x v="18"/>
    <n v="5"/>
    <n v="48600"/>
    <n v="20"/>
    <x v="93"/>
    <n v="146624.19"/>
    <n v="47775.81"/>
    <x v="1"/>
  </r>
  <r>
    <s v="ORD00096"/>
    <x v="20"/>
    <s v="CUST0032"/>
    <x v="8"/>
    <x v="3"/>
    <x v="9"/>
    <n v="2"/>
    <n v="2750"/>
    <n v="15"/>
    <x v="94"/>
    <n v="3683.1"/>
    <n v="991.9"/>
    <x v="0"/>
  </r>
  <r>
    <s v="ORD00097"/>
    <x v="85"/>
    <s v="CUST0058"/>
    <x v="0"/>
    <x v="4"/>
    <x v="16"/>
    <n v="3"/>
    <n v="9500"/>
    <n v="0"/>
    <x v="95"/>
    <n v="19924.57"/>
    <n v="8575.43"/>
    <x v="4"/>
  </r>
  <r>
    <s v="ORD00098"/>
    <x v="86"/>
    <s v="CUST0124"/>
    <x v="6"/>
    <x v="0"/>
    <x v="18"/>
    <n v="4"/>
    <n v="39450"/>
    <n v="20"/>
    <x v="96"/>
    <n v="93475.81"/>
    <n v="32764.19"/>
    <x v="1"/>
  </r>
  <r>
    <s v="ORD00099"/>
    <x v="87"/>
    <s v="CUST0035"/>
    <x v="0"/>
    <x v="1"/>
    <x v="17"/>
    <n v="2"/>
    <n v="1750"/>
    <n v="5"/>
    <x v="97"/>
    <n v="2656.36"/>
    <n v="668.64"/>
    <x v="2"/>
  </r>
  <r>
    <s v="ORD00100"/>
    <x v="88"/>
    <s v="CUST0149"/>
    <x v="6"/>
    <x v="1"/>
    <x v="13"/>
    <n v="5"/>
    <n v="1300"/>
    <n v="0"/>
    <x v="98"/>
    <n v="4071.38"/>
    <n v="2428.62"/>
    <x v="1"/>
  </r>
  <r>
    <s v="ORD00101"/>
    <x v="76"/>
    <s v="CUST0097"/>
    <x v="6"/>
    <x v="1"/>
    <x v="17"/>
    <n v="4"/>
    <n v="1600"/>
    <n v="10"/>
    <x v="99"/>
    <n v="4026.34"/>
    <n v="1733.66"/>
    <x v="2"/>
  </r>
  <r>
    <s v="ORD00102"/>
    <x v="37"/>
    <s v="CUST0012"/>
    <x v="3"/>
    <x v="4"/>
    <x v="16"/>
    <n v="5"/>
    <n v="6750"/>
    <n v="5"/>
    <x v="100"/>
    <n v="25044.77"/>
    <n v="7017.73"/>
    <x v="4"/>
  </r>
  <r>
    <s v="ORD00103"/>
    <x v="89"/>
    <s v="CUST0085"/>
    <x v="0"/>
    <x v="1"/>
    <x v="22"/>
    <n v="2"/>
    <n v="2250"/>
    <n v="0"/>
    <x v="101"/>
    <n v="2628.39"/>
    <n v="1871.61"/>
    <x v="4"/>
  </r>
  <r>
    <s v="ORD00104"/>
    <x v="90"/>
    <s v="CUST0040"/>
    <x v="0"/>
    <x v="0"/>
    <x v="24"/>
    <n v="4"/>
    <n v="3200"/>
    <n v="5"/>
    <x v="102"/>
    <n v="8034.04"/>
    <n v="4125.96"/>
    <x v="4"/>
  </r>
  <r>
    <s v="ORD00105"/>
    <x v="79"/>
    <s v="CUST0137"/>
    <x v="2"/>
    <x v="3"/>
    <x v="19"/>
    <n v="5"/>
    <n v="3650"/>
    <n v="0"/>
    <x v="103"/>
    <n v="14234.57"/>
    <n v="4015.43"/>
    <x v="2"/>
  </r>
  <r>
    <s v="ORD00106"/>
    <x v="91"/>
    <s v="CUST0074"/>
    <x v="9"/>
    <x v="1"/>
    <x v="17"/>
    <n v="1"/>
    <n v="2750"/>
    <n v="0"/>
    <x v="5"/>
    <n v="1686.82"/>
    <n v="1063.18"/>
    <x v="3"/>
  </r>
  <r>
    <s v="ORD00107"/>
    <x v="92"/>
    <s v="CUST0012"/>
    <x v="3"/>
    <x v="1"/>
    <x v="1"/>
    <n v="1"/>
    <n v="2000"/>
    <n v="5"/>
    <x v="104"/>
    <n v="1401.02"/>
    <n v="498.98"/>
    <x v="3"/>
  </r>
  <r>
    <s v="ORD00108"/>
    <x v="37"/>
    <s v="CUST0145"/>
    <x v="7"/>
    <x v="3"/>
    <x v="19"/>
    <n v="3"/>
    <n v="3950"/>
    <n v="5"/>
    <x v="105"/>
    <n v="6933.87"/>
    <n v="4323.63"/>
    <x v="1"/>
  </r>
  <r>
    <s v="ORD00109"/>
    <x v="93"/>
    <s v="CUST0150"/>
    <x v="7"/>
    <x v="4"/>
    <x v="20"/>
    <n v="5"/>
    <n v="6750"/>
    <n v="20"/>
    <x v="106"/>
    <n v="19830.05"/>
    <n v="7169.95"/>
    <x v="1"/>
  </r>
  <r>
    <s v="ORD00110"/>
    <x v="63"/>
    <s v="CUST0074"/>
    <x v="1"/>
    <x v="1"/>
    <x v="13"/>
    <n v="4"/>
    <n v="1250"/>
    <n v="0"/>
    <x v="107"/>
    <n v="3963.53"/>
    <n v="1036.47"/>
    <x v="1"/>
  </r>
  <r>
    <s v="ORD00111"/>
    <x v="94"/>
    <s v="CUST0078"/>
    <x v="9"/>
    <x v="0"/>
    <x v="6"/>
    <n v="3"/>
    <n v="40400"/>
    <n v="15"/>
    <x v="108"/>
    <n v="75862.350000000006"/>
    <n v="27157.65"/>
    <x v="4"/>
  </r>
  <r>
    <s v="ORD00112"/>
    <x v="95"/>
    <s v="CUST0076"/>
    <x v="8"/>
    <x v="1"/>
    <x v="1"/>
    <n v="2"/>
    <n v="1750"/>
    <n v="20"/>
    <x v="109"/>
    <n v="1811.37"/>
    <n v="988.63"/>
    <x v="4"/>
  </r>
  <r>
    <s v="ORD00113"/>
    <x v="96"/>
    <s v="CUST0059"/>
    <x v="5"/>
    <x v="3"/>
    <x v="4"/>
    <n v="5"/>
    <n v="800"/>
    <n v="20"/>
    <x v="110"/>
    <n v="2403.83"/>
    <n v="796.17"/>
    <x v="2"/>
  </r>
  <r>
    <s v="ORD00114"/>
    <x v="97"/>
    <s v="CUST0011"/>
    <x v="4"/>
    <x v="4"/>
    <x v="16"/>
    <n v="5"/>
    <n v="4600"/>
    <n v="5"/>
    <x v="111"/>
    <n v="15723.85"/>
    <n v="6126.15"/>
    <x v="4"/>
  </r>
  <r>
    <s v="ORD00115"/>
    <x v="56"/>
    <s v="CUST0107"/>
    <x v="7"/>
    <x v="0"/>
    <x v="24"/>
    <n v="3"/>
    <n v="18400"/>
    <n v="0"/>
    <x v="112"/>
    <n v="43917.09"/>
    <n v="11282.91"/>
    <x v="1"/>
  </r>
  <r>
    <s v="ORD00116"/>
    <x v="98"/>
    <s v="CUST0066"/>
    <x v="6"/>
    <x v="4"/>
    <x v="23"/>
    <n v="3"/>
    <n v="9200"/>
    <n v="20"/>
    <x v="113"/>
    <n v="17589.84"/>
    <n v="4490.16"/>
    <x v="2"/>
  </r>
  <r>
    <s v="ORD00117"/>
    <x v="18"/>
    <s v="CUST0102"/>
    <x v="1"/>
    <x v="3"/>
    <x v="4"/>
    <n v="4"/>
    <n v="1000"/>
    <n v="5"/>
    <x v="61"/>
    <n v="2863.76"/>
    <n v="936.24"/>
    <x v="2"/>
  </r>
  <r>
    <s v="ORD00118"/>
    <x v="99"/>
    <s v="CUST0068"/>
    <x v="5"/>
    <x v="0"/>
    <x v="6"/>
    <n v="1"/>
    <n v="35850"/>
    <n v="20"/>
    <x v="114"/>
    <n v="16731.02"/>
    <n v="11948.98"/>
    <x v="4"/>
  </r>
  <r>
    <s v="ORD00119"/>
    <x v="100"/>
    <s v="CUST0084"/>
    <x v="5"/>
    <x v="3"/>
    <x v="4"/>
    <n v="2"/>
    <n v="4250"/>
    <n v="0"/>
    <x v="115"/>
    <n v="6096.86"/>
    <n v="2403.14"/>
    <x v="1"/>
  </r>
  <r>
    <s v="ORD00120"/>
    <x v="101"/>
    <s v="CUST0078"/>
    <x v="6"/>
    <x v="0"/>
    <x v="6"/>
    <n v="3"/>
    <n v="54700"/>
    <n v="0"/>
    <x v="116"/>
    <n v="96448.1"/>
    <n v="67651.899999999994"/>
    <x v="3"/>
  </r>
  <r>
    <s v="ORD00121"/>
    <x v="102"/>
    <s v="CUST0139"/>
    <x v="2"/>
    <x v="0"/>
    <x v="18"/>
    <n v="5"/>
    <n v="19000"/>
    <n v="15"/>
    <x v="117"/>
    <n v="54303.07"/>
    <n v="26446.93"/>
    <x v="0"/>
  </r>
  <r>
    <s v="ORD00122"/>
    <x v="103"/>
    <s v="CUST0009"/>
    <x v="3"/>
    <x v="4"/>
    <x v="8"/>
    <n v="1"/>
    <n v="8500"/>
    <n v="20"/>
    <x v="38"/>
    <n v="4489.3"/>
    <n v="2310.6999999999998"/>
    <x v="1"/>
  </r>
  <r>
    <s v="ORD00123"/>
    <x v="99"/>
    <s v="CUST0140"/>
    <x v="3"/>
    <x v="1"/>
    <x v="22"/>
    <n v="2"/>
    <n v="1700"/>
    <n v="0"/>
    <x v="54"/>
    <n v="2770.49"/>
    <n v="629.51"/>
    <x v="3"/>
  </r>
  <r>
    <s v="ORD00124"/>
    <x v="17"/>
    <s v="CUST0006"/>
    <x v="8"/>
    <x v="1"/>
    <x v="13"/>
    <n v="2"/>
    <n v="700"/>
    <n v="15"/>
    <x v="118"/>
    <n v="683.95"/>
    <n v="506.05"/>
    <x v="2"/>
  </r>
  <r>
    <s v="ORD00125"/>
    <x v="33"/>
    <s v="CUST0054"/>
    <x v="5"/>
    <x v="4"/>
    <x v="16"/>
    <n v="5"/>
    <n v="3850"/>
    <n v="0"/>
    <x v="119"/>
    <n v="14900.48"/>
    <n v="4349.5200000000004"/>
    <x v="1"/>
  </r>
  <r>
    <s v="ORD00126"/>
    <x v="104"/>
    <s v="CUST0034"/>
    <x v="1"/>
    <x v="4"/>
    <x v="21"/>
    <n v="2"/>
    <n v="10250"/>
    <n v="0"/>
    <x v="120"/>
    <n v="12809.72"/>
    <n v="7690.28"/>
    <x v="2"/>
  </r>
  <r>
    <s v="ORD00127"/>
    <x v="105"/>
    <s v="CUST0083"/>
    <x v="8"/>
    <x v="4"/>
    <x v="20"/>
    <n v="1"/>
    <n v="2650"/>
    <n v="0"/>
    <x v="121"/>
    <n v="1713.82"/>
    <n v="936.18"/>
    <x v="1"/>
  </r>
  <r>
    <s v="ORD00128"/>
    <x v="52"/>
    <s v="CUST0122"/>
    <x v="6"/>
    <x v="3"/>
    <x v="4"/>
    <n v="2"/>
    <n v="3850"/>
    <n v="20"/>
    <x v="122"/>
    <n v="3577.02"/>
    <n v="2582.98"/>
    <x v="2"/>
  </r>
  <r>
    <s v="ORD00129"/>
    <x v="106"/>
    <s v="CUST0012"/>
    <x v="1"/>
    <x v="2"/>
    <x v="14"/>
    <n v="1"/>
    <n v="1100"/>
    <n v="20"/>
    <x v="123"/>
    <n v="536.64"/>
    <n v="343.36"/>
    <x v="2"/>
  </r>
  <r>
    <s v="ORD00130"/>
    <x v="60"/>
    <s v="CUST0126"/>
    <x v="6"/>
    <x v="1"/>
    <x v="1"/>
    <n v="1"/>
    <n v="2150"/>
    <n v="15"/>
    <x v="124"/>
    <n v="1215.46"/>
    <n v="612.04"/>
    <x v="3"/>
  </r>
  <r>
    <s v="ORD00131"/>
    <x v="107"/>
    <s v="CUST0150"/>
    <x v="1"/>
    <x v="0"/>
    <x v="11"/>
    <n v="5"/>
    <n v="20650"/>
    <n v="0"/>
    <x v="125"/>
    <n v="60305.41"/>
    <n v="42944.59"/>
    <x v="2"/>
  </r>
  <r>
    <s v="ORD00132"/>
    <x v="108"/>
    <s v="CUST0026"/>
    <x v="0"/>
    <x v="1"/>
    <x v="17"/>
    <n v="5"/>
    <n v="1400"/>
    <n v="15"/>
    <x v="126"/>
    <n v="4084.67"/>
    <n v="1865.33"/>
    <x v="0"/>
  </r>
  <r>
    <s v="ORD00133"/>
    <x v="109"/>
    <s v="CUST0103"/>
    <x v="2"/>
    <x v="4"/>
    <x v="8"/>
    <n v="4"/>
    <n v="4250"/>
    <n v="15"/>
    <x v="127"/>
    <n v="9269.84"/>
    <n v="5180.16"/>
    <x v="3"/>
  </r>
  <r>
    <s v="ORD00134"/>
    <x v="110"/>
    <s v="CUST0122"/>
    <x v="0"/>
    <x v="3"/>
    <x v="10"/>
    <n v="3"/>
    <n v="5850"/>
    <n v="10"/>
    <x v="128"/>
    <n v="10283.51"/>
    <n v="5511.49"/>
    <x v="3"/>
  </r>
  <r>
    <s v="ORD00135"/>
    <x v="25"/>
    <s v="CUST0016"/>
    <x v="5"/>
    <x v="0"/>
    <x v="0"/>
    <n v="4"/>
    <n v="13850"/>
    <n v="10"/>
    <x v="129"/>
    <n v="38351.199999999997"/>
    <n v="11508.8"/>
    <x v="0"/>
  </r>
  <r>
    <s v="ORD00136"/>
    <x v="111"/>
    <s v="CUST0014"/>
    <x v="4"/>
    <x v="2"/>
    <x v="5"/>
    <n v="1"/>
    <n v="1000"/>
    <n v="10"/>
    <x v="43"/>
    <n v="707.29"/>
    <n v="192.71"/>
    <x v="0"/>
  </r>
  <r>
    <s v="ORD00137"/>
    <x v="112"/>
    <s v="CUST0124"/>
    <x v="9"/>
    <x v="3"/>
    <x v="19"/>
    <n v="1"/>
    <n v="5150"/>
    <n v="20"/>
    <x v="27"/>
    <n v="2502.65"/>
    <n v="1617.35"/>
    <x v="3"/>
  </r>
  <r>
    <s v="ORD00138"/>
    <x v="61"/>
    <s v="CUST0144"/>
    <x v="5"/>
    <x v="3"/>
    <x v="9"/>
    <n v="3"/>
    <n v="1350"/>
    <n v="10"/>
    <x v="130"/>
    <n v="2569.75"/>
    <n v="1075.25"/>
    <x v="0"/>
  </r>
  <r>
    <s v="ORD00139"/>
    <x v="113"/>
    <s v="CUST0080"/>
    <x v="3"/>
    <x v="2"/>
    <x v="12"/>
    <n v="5"/>
    <n v="1500"/>
    <n v="10"/>
    <x v="131"/>
    <n v="3765.27"/>
    <n v="2984.73"/>
    <x v="2"/>
  </r>
  <r>
    <s v="ORD00140"/>
    <x v="114"/>
    <s v="CUST0008"/>
    <x v="0"/>
    <x v="0"/>
    <x v="18"/>
    <n v="2"/>
    <n v="53750"/>
    <n v="0"/>
    <x v="132"/>
    <n v="63242.91"/>
    <n v="44257.09"/>
    <x v="0"/>
  </r>
  <r>
    <s v="ORD00141"/>
    <x v="115"/>
    <s v="CUST0084"/>
    <x v="5"/>
    <x v="4"/>
    <x v="8"/>
    <n v="4"/>
    <n v="7950"/>
    <n v="10"/>
    <x v="133"/>
    <n v="16957.36"/>
    <n v="11662.64"/>
    <x v="0"/>
  </r>
  <r>
    <s v="ORD00142"/>
    <x v="27"/>
    <s v="CUST0070"/>
    <x v="6"/>
    <x v="0"/>
    <x v="0"/>
    <n v="2"/>
    <n v="21850"/>
    <n v="20"/>
    <x v="134"/>
    <n v="19697.72"/>
    <n v="15262.28"/>
    <x v="4"/>
  </r>
  <r>
    <s v="ORD00143"/>
    <x v="116"/>
    <s v="CUST0030"/>
    <x v="3"/>
    <x v="1"/>
    <x v="17"/>
    <n v="4"/>
    <n v="1900"/>
    <n v="10"/>
    <x v="135"/>
    <n v="4160.1099999999997"/>
    <n v="2679.89"/>
    <x v="4"/>
  </r>
  <r>
    <s v="ORD00144"/>
    <x v="117"/>
    <s v="CUST0057"/>
    <x v="2"/>
    <x v="0"/>
    <x v="11"/>
    <n v="5"/>
    <n v="65000"/>
    <n v="20"/>
    <x v="136"/>
    <n v="189832.71"/>
    <n v="70167.289999999994"/>
    <x v="0"/>
  </r>
  <r>
    <s v="ORD00145"/>
    <x v="118"/>
    <s v="CUST0075"/>
    <x v="3"/>
    <x v="0"/>
    <x v="0"/>
    <n v="2"/>
    <n v="40700"/>
    <n v="5"/>
    <x v="137"/>
    <n v="58553.07"/>
    <n v="18776.93"/>
    <x v="3"/>
  </r>
  <r>
    <s v="ORD00146"/>
    <x v="119"/>
    <s v="CUST0059"/>
    <x v="1"/>
    <x v="0"/>
    <x v="6"/>
    <n v="4"/>
    <n v="24250"/>
    <n v="5"/>
    <x v="138"/>
    <n v="60142.25"/>
    <n v="32007.75"/>
    <x v="0"/>
  </r>
  <r>
    <s v="ORD00147"/>
    <x v="120"/>
    <s v="CUST0081"/>
    <x v="5"/>
    <x v="3"/>
    <x v="4"/>
    <n v="4"/>
    <n v="750"/>
    <n v="15"/>
    <x v="139"/>
    <n v="1415.4"/>
    <n v="1134.5999999999999"/>
    <x v="4"/>
  </r>
  <r>
    <s v="ORD00148"/>
    <x v="121"/>
    <s v="CUST0044"/>
    <x v="5"/>
    <x v="2"/>
    <x v="2"/>
    <n v="4"/>
    <n v="750"/>
    <n v="0"/>
    <x v="17"/>
    <n v="1978.08"/>
    <n v="1021.92"/>
    <x v="4"/>
  </r>
  <r>
    <s v="ORD00149"/>
    <x v="24"/>
    <s v="CUST0135"/>
    <x v="0"/>
    <x v="3"/>
    <x v="4"/>
    <n v="4"/>
    <n v="1250"/>
    <n v="5"/>
    <x v="140"/>
    <n v="3171.26"/>
    <n v="1578.74"/>
    <x v="4"/>
  </r>
  <r>
    <s v="ORD00150"/>
    <x v="114"/>
    <s v="CUST0030"/>
    <x v="1"/>
    <x v="3"/>
    <x v="19"/>
    <n v="2"/>
    <n v="3150"/>
    <n v="5"/>
    <x v="141"/>
    <n v="3415.18"/>
    <n v="2569.8200000000002"/>
    <x v="0"/>
  </r>
  <r>
    <s v="ORD00151"/>
    <x v="104"/>
    <s v="CUST0066"/>
    <x v="9"/>
    <x v="4"/>
    <x v="21"/>
    <n v="3"/>
    <n v="11050"/>
    <n v="5"/>
    <x v="142"/>
    <n v="19329.86"/>
    <n v="12162.64"/>
    <x v="1"/>
  </r>
  <r>
    <s v="ORD00152"/>
    <x v="122"/>
    <s v="CUST0149"/>
    <x v="6"/>
    <x v="2"/>
    <x v="7"/>
    <n v="1"/>
    <n v="500"/>
    <n v="15"/>
    <x v="143"/>
    <n v="286.99"/>
    <n v="138.01"/>
    <x v="0"/>
  </r>
  <r>
    <s v="ORD00153"/>
    <x v="80"/>
    <s v="CUST0078"/>
    <x v="4"/>
    <x v="2"/>
    <x v="5"/>
    <n v="3"/>
    <n v="450"/>
    <n v="15"/>
    <x v="144"/>
    <n v="652.28"/>
    <n v="495.22"/>
    <x v="0"/>
  </r>
  <r>
    <s v="ORD00154"/>
    <x v="101"/>
    <s v="CUST0015"/>
    <x v="3"/>
    <x v="0"/>
    <x v="11"/>
    <n v="5"/>
    <n v="10900"/>
    <n v="10"/>
    <x v="145"/>
    <n v="33092.589999999997"/>
    <n v="15957.41"/>
    <x v="2"/>
  </r>
  <r>
    <s v="ORD00155"/>
    <x v="33"/>
    <s v="CUST0011"/>
    <x v="6"/>
    <x v="0"/>
    <x v="0"/>
    <n v="5"/>
    <n v="67650"/>
    <n v="15"/>
    <x v="146"/>
    <n v="194051.43"/>
    <n v="93461.07"/>
    <x v="0"/>
  </r>
  <r>
    <s v="ORD00156"/>
    <x v="123"/>
    <s v="CUST0116"/>
    <x v="0"/>
    <x v="4"/>
    <x v="21"/>
    <n v="5"/>
    <n v="8300"/>
    <n v="20"/>
    <x v="147"/>
    <n v="19612.32"/>
    <n v="13587.68"/>
    <x v="2"/>
  </r>
  <r>
    <s v="ORD00157"/>
    <x v="78"/>
    <s v="CUST0135"/>
    <x v="1"/>
    <x v="0"/>
    <x v="24"/>
    <n v="2"/>
    <n v="6350"/>
    <n v="5"/>
    <x v="148"/>
    <n v="8940.86"/>
    <n v="3124.14"/>
    <x v="0"/>
  </r>
  <r>
    <s v="ORD00158"/>
    <x v="124"/>
    <s v="CUST0014"/>
    <x v="3"/>
    <x v="4"/>
    <x v="21"/>
    <n v="3"/>
    <n v="5150"/>
    <n v="15"/>
    <x v="149"/>
    <n v="8672.2800000000007"/>
    <n v="4460.22"/>
    <x v="3"/>
  </r>
  <r>
    <s v="ORD00159"/>
    <x v="112"/>
    <s v="CUST0039"/>
    <x v="3"/>
    <x v="3"/>
    <x v="4"/>
    <n v="5"/>
    <n v="5950"/>
    <n v="15"/>
    <x v="150"/>
    <n v="15848.17"/>
    <n v="9439.33"/>
    <x v="3"/>
  </r>
  <r>
    <s v="ORD00160"/>
    <x v="19"/>
    <s v="CUST0022"/>
    <x v="4"/>
    <x v="2"/>
    <x v="7"/>
    <n v="3"/>
    <n v="800"/>
    <n v="15"/>
    <x v="151"/>
    <n v="1193.03"/>
    <n v="846.97"/>
    <x v="0"/>
  </r>
  <r>
    <s v="ORD00161"/>
    <x v="102"/>
    <s v="CUST0109"/>
    <x v="1"/>
    <x v="1"/>
    <x v="13"/>
    <n v="2"/>
    <n v="2950"/>
    <n v="20"/>
    <x v="152"/>
    <n v="2715.1"/>
    <n v="2004.9"/>
    <x v="2"/>
  </r>
  <r>
    <s v="ORD00162"/>
    <x v="20"/>
    <s v="CUST0050"/>
    <x v="9"/>
    <x v="0"/>
    <x v="11"/>
    <n v="3"/>
    <n v="24850"/>
    <n v="5"/>
    <x v="153"/>
    <n v="45487.01"/>
    <n v="25335.49"/>
    <x v="1"/>
  </r>
  <r>
    <s v="ORD00163"/>
    <x v="125"/>
    <s v="CUST0010"/>
    <x v="3"/>
    <x v="4"/>
    <x v="20"/>
    <n v="3"/>
    <n v="2150"/>
    <n v="20"/>
    <x v="154"/>
    <n v="3911.98"/>
    <n v="1248.02"/>
    <x v="0"/>
  </r>
  <r>
    <s v="ORD00164"/>
    <x v="126"/>
    <s v="CUST0043"/>
    <x v="6"/>
    <x v="4"/>
    <x v="23"/>
    <n v="4"/>
    <n v="3050"/>
    <n v="5"/>
    <x v="71"/>
    <n v="6940.42"/>
    <n v="4649.58"/>
    <x v="3"/>
  </r>
  <r>
    <s v="ORD00165"/>
    <x v="127"/>
    <s v="CUST0060"/>
    <x v="1"/>
    <x v="1"/>
    <x v="13"/>
    <n v="2"/>
    <n v="2000"/>
    <n v="20"/>
    <x v="110"/>
    <n v="2006.18"/>
    <n v="1193.82"/>
    <x v="1"/>
  </r>
  <r>
    <s v="ORD00166"/>
    <x v="128"/>
    <s v="CUST0073"/>
    <x v="2"/>
    <x v="3"/>
    <x v="10"/>
    <n v="2"/>
    <n v="3400"/>
    <n v="20"/>
    <x v="155"/>
    <n v="4437.95"/>
    <n v="1002.05"/>
    <x v="0"/>
  </r>
  <r>
    <s v="ORD00167"/>
    <x v="34"/>
    <s v="CUST0014"/>
    <x v="6"/>
    <x v="2"/>
    <x v="2"/>
    <n v="2"/>
    <n v="550"/>
    <n v="20"/>
    <x v="123"/>
    <n v="516.88"/>
    <n v="363.12"/>
    <x v="2"/>
  </r>
  <r>
    <s v="ORD00168"/>
    <x v="14"/>
    <s v="CUST0070"/>
    <x v="6"/>
    <x v="2"/>
    <x v="12"/>
    <n v="5"/>
    <n v="400"/>
    <n v="10"/>
    <x v="156"/>
    <n v="1030.76"/>
    <n v="769.24"/>
    <x v="0"/>
  </r>
  <r>
    <s v="ORD00169"/>
    <x v="129"/>
    <s v="CUST0107"/>
    <x v="8"/>
    <x v="4"/>
    <x v="8"/>
    <n v="1"/>
    <n v="4150"/>
    <n v="15"/>
    <x v="157"/>
    <n v="2782.67"/>
    <n v="744.83"/>
    <x v="4"/>
  </r>
  <r>
    <s v="ORD00170"/>
    <x v="92"/>
    <s v="CUST0082"/>
    <x v="0"/>
    <x v="2"/>
    <x v="5"/>
    <n v="2"/>
    <n v="950"/>
    <n v="0"/>
    <x v="104"/>
    <n v="1237.33"/>
    <n v="662.67"/>
    <x v="2"/>
  </r>
  <r>
    <s v="ORD00171"/>
    <x v="9"/>
    <s v="CUST0121"/>
    <x v="6"/>
    <x v="4"/>
    <x v="16"/>
    <n v="1"/>
    <n v="5200"/>
    <n v="15"/>
    <x v="158"/>
    <n v="3261.69"/>
    <n v="1158.31"/>
    <x v="0"/>
  </r>
  <r>
    <s v="ORD00172"/>
    <x v="130"/>
    <s v="CUST0136"/>
    <x v="2"/>
    <x v="0"/>
    <x v="0"/>
    <n v="1"/>
    <n v="34750"/>
    <n v="5"/>
    <x v="159"/>
    <n v="25599.21"/>
    <n v="7413.29"/>
    <x v="3"/>
  </r>
  <r>
    <s v="ORD00173"/>
    <x v="131"/>
    <s v="CUST0118"/>
    <x v="0"/>
    <x v="3"/>
    <x v="3"/>
    <n v="3"/>
    <n v="1400"/>
    <n v="0"/>
    <x v="160"/>
    <n v="2580.39"/>
    <n v="1619.61"/>
    <x v="3"/>
  </r>
  <r>
    <s v="ORD00174"/>
    <x v="132"/>
    <s v="CUST0075"/>
    <x v="2"/>
    <x v="1"/>
    <x v="17"/>
    <n v="5"/>
    <n v="250"/>
    <n v="20"/>
    <x v="161"/>
    <n v="705.26"/>
    <n v="294.74"/>
    <x v="3"/>
  </r>
  <r>
    <s v="ORD00175"/>
    <x v="133"/>
    <s v="CUST0022"/>
    <x v="1"/>
    <x v="2"/>
    <x v="5"/>
    <n v="2"/>
    <n v="1300"/>
    <n v="15"/>
    <x v="21"/>
    <n v="1327.27"/>
    <n v="882.73"/>
    <x v="2"/>
  </r>
  <r>
    <s v="ORD00176"/>
    <x v="53"/>
    <s v="CUST0121"/>
    <x v="8"/>
    <x v="0"/>
    <x v="24"/>
    <n v="5"/>
    <n v="67700"/>
    <n v="20"/>
    <x v="162"/>
    <n v="189457.37"/>
    <n v="81342.63"/>
    <x v="4"/>
  </r>
  <r>
    <s v="ORD00177"/>
    <x v="112"/>
    <s v="CUST0027"/>
    <x v="5"/>
    <x v="3"/>
    <x v="19"/>
    <n v="1"/>
    <n v="3300"/>
    <n v="0"/>
    <x v="163"/>
    <n v="2122.2199999999998"/>
    <n v="1177.78"/>
    <x v="2"/>
  </r>
  <r>
    <s v="ORD00178"/>
    <x v="134"/>
    <s v="CUST0119"/>
    <x v="6"/>
    <x v="4"/>
    <x v="20"/>
    <n v="3"/>
    <n v="9450"/>
    <n v="10"/>
    <x v="164"/>
    <n v="19637.55"/>
    <n v="5877.45"/>
    <x v="1"/>
  </r>
  <r>
    <s v="ORD00179"/>
    <x v="135"/>
    <s v="CUST0011"/>
    <x v="3"/>
    <x v="4"/>
    <x v="20"/>
    <n v="4"/>
    <n v="1100"/>
    <n v="10"/>
    <x v="165"/>
    <n v="2393.54"/>
    <n v="1566.46"/>
    <x v="2"/>
  </r>
  <r>
    <s v="ORD00180"/>
    <x v="136"/>
    <s v="CUST0049"/>
    <x v="4"/>
    <x v="2"/>
    <x v="2"/>
    <n v="5"/>
    <n v="1100"/>
    <n v="10"/>
    <x v="166"/>
    <n v="2771.44"/>
    <n v="2178.56"/>
    <x v="2"/>
  </r>
  <r>
    <s v="ORD00181"/>
    <x v="137"/>
    <s v="CUST0113"/>
    <x v="2"/>
    <x v="0"/>
    <x v="11"/>
    <n v="3"/>
    <n v="17500"/>
    <n v="10"/>
    <x v="167"/>
    <n v="31561.91"/>
    <n v="15688.09"/>
    <x v="2"/>
  </r>
  <r>
    <s v="ORD00182"/>
    <x v="138"/>
    <s v="CUST0109"/>
    <x v="0"/>
    <x v="4"/>
    <x v="8"/>
    <n v="4"/>
    <n v="6500"/>
    <n v="20"/>
    <x v="168"/>
    <n v="12937.9"/>
    <n v="7862.1"/>
    <x v="4"/>
  </r>
  <r>
    <s v="ORD00183"/>
    <x v="56"/>
    <s v="CUST0076"/>
    <x v="4"/>
    <x v="2"/>
    <x v="7"/>
    <n v="5"/>
    <n v="750"/>
    <n v="10"/>
    <x v="169"/>
    <n v="1949.74"/>
    <n v="1425.26"/>
    <x v="4"/>
  </r>
  <r>
    <s v="ORD00184"/>
    <x v="139"/>
    <s v="CUST0091"/>
    <x v="5"/>
    <x v="2"/>
    <x v="2"/>
    <n v="2"/>
    <n v="1550"/>
    <n v="15"/>
    <x v="170"/>
    <n v="1699.36"/>
    <n v="935.64"/>
    <x v="4"/>
  </r>
  <r>
    <s v="ORD00185"/>
    <x v="140"/>
    <s v="CUST0041"/>
    <x v="8"/>
    <x v="3"/>
    <x v="4"/>
    <n v="1"/>
    <n v="5900"/>
    <n v="15"/>
    <x v="171"/>
    <n v="3250.19"/>
    <n v="1764.81"/>
    <x v="1"/>
  </r>
  <r>
    <s v="ORD00186"/>
    <x v="22"/>
    <s v="CUST0094"/>
    <x v="3"/>
    <x v="2"/>
    <x v="2"/>
    <n v="1"/>
    <n v="400"/>
    <n v="0"/>
    <x v="172"/>
    <n v="245.49"/>
    <n v="154.51"/>
    <x v="4"/>
  </r>
  <r>
    <s v="ORD00187"/>
    <x v="141"/>
    <s v="CUST0114"/>
    <x v="0"/>
    <x v="2"/>
    <x v="12"/>
    <n v="5"/>
    <n v="450"/>
    <n v="15"/>
    <x v="173"/>
    <n v="1541.82"/>
    <n v="370.68"/>
    <x v="0"/>
  </r>
  <r>
    <s v="ORD00188"/>
    <x v="142"/>
    <s v="CUST0030"/>
    <x v="8"/>
    <x v="4"/>
    <x v="23"/>
    <n v="3"/>
    <n v="7000"/>
    <n v="10"/>
    <x v="174"/>
    <n v="13709.71"/>
    <n v="5190.29"/>
    <x v="1"/>
  </r>
  <r>
    <s v="ORD00189"/>
    <x v="40"/>
    <s v="CUST0115"/>
    <x v="9"/>
    <x v="1"/>
    <x v="17"/>
    <n v="4"/>
    <n v="2500"/>
    <n v="0"/>
    <x v="175"/>
    <n v="6206.8"/>
    <n v="3793.2"/>
    <x v="0"/>
  </r>
  <r>
    <s v="ORD00190"/>
    <x v="143"/>
    <s v="CUST0045"/>
    <x v="6"/>
    <x v="3"/>
    <x v="10"/>
    <n v="2"/>
    <n v="1400"/>
    <n v="5"/>
    <x v="176"/>
    <n v="2075.5"/>
    <n v="584.5"/>
    <x v="3"/>
  </r>
  <r>
    <s v="ORD00191"/>
    <x v="144"/>
    <s v="CUST0041"/>
    <x v="7"/>
    <x v="3"/>
    <x v="19"/>
    <n v="1"/>
    <n v="4900"/>
    <n v="20"/>
    <x v="177"/>
    <n v="2463.3200000000002"/>
    <n v="1456.68"/>
    <x v="2"/>
  </r>
  <r>
    <s v="ORD00192"/>
    <x v="145"/>
    <s v="CUST0007"/>
    <x v="3"/>
    <x v="2"/>
    <x v="7"/>
    <n v="1"/>
    <n v="550"/>
    <n v="5"/>
    <x v="178"/>
    <n v="320.77"/>
    <n v="201.73"/>
    <x v="0"/>
  </r>
  <r>
    <s v="ORD00193"/>
    <x v="146"/>
    <s v="CUST0017"/>
    <x v="4"/>
    <x v="2"/>
    <x v="5"/>
    <n v="4"/>
    <n v="1800"/>
    <n v="20"/>
    <x v="99"/>
    <n v="3369.82"/>
    <n v="2390.1799999999998"/>
    <x v="4"/>
  </r>
  <r>
    <s v="ORD00194"/>
    <x v="30"/>
    <s v="CUST0033"/>
    <x v="3"/>
    <x v="1"/>
    <x v="17"/>
    <n v="4"/>
    <n v="3350"/>
    <n v="15"/>
    <x v="179"/>
    <n v="8796.52"/>
    <n v="2593.48"/>
    <x v="3"/>
  </r>
  <r>
    <s v="ORD00195"/>
    <x v="147"/>
    <s v="CUST0047"/>
    <x v="7"/>
    <x v="1"/>
    <x v="22"/>
    <n v="5"/>
    <n v="1600"/>
    <n v="5"/>
    <x v="180"/>
    <n v="5981.57"/>
    <n v="1618.43"/>
    <x v="4"/>
  </r>
  <r>
    <s v="ORD00196"/>
    <x v="14"/>
    <s v="CUST0083"/>
    <x v="9"/>
    <x v="2"/>
    <x v="12"/>
    <n v="1"/>
    <n v="1200"/>
    <n v="5"/>
    <x v="58"/>
    <n v="720.61"/>
    <n v="419.39"/>
    <x v="2"/>
  </r>
  <r>
    <s v="ORD00197"/>
    <x v="147"/>
    <s v="CUST0071"/>
    <x v="7"/>
    <x v="2"/>
    <x v="5"/>
    <n v="1"/>
    <n v="650"/>
    <n v="5"/>
    <x v="181"/>
    <n v="445.5"/>
    <n v="172"/>
    <x v="2"/>
  </r>
  <r>
    <s v="ORD00198"/>
    <x v="148"/>
    <s v="CUST0040"/>
    <x v="7"/>
    <x v="2"/>
    <x v="14"/>
    <n v="1"/>
    <n v="1200"/>
    <n v="5"/>
    <x v="58"/>
    <n v="809.16"/>
    <n v="330.84"/>
    <x v="0"/>
  </r>
  <r>
    <s v="ORD00199"/>
    <x v="149"/>
    <s v="CUST0148"/>
    <x v="4"/>
    <x v="2"/>
    <x v="5"/>
    <n v="5"/>
    <n v="250"/>
    <n v="0"/>
    <x v="182"/>
    <n v="714.91"/>
    <n v="535.09"/>
    <x v="1"/>
  </r>
  <r>
    <s v="ORD00200"/>
    <x v="97"/>
    <s v="CUST0140"/>
    <x v="4"/>
    <x v="2"/>
    <x v="2"/>
    <n v="5"/>
    <n v="1450"/>
    <n v="0"/>
    <x v="183"/>
    <n v="4962.41"/>
    <n v="2287.59"/>
    <x v="2"/>
  </r>
  <r>
    <s v="ORD00201"/>
    <x v="150"/>
    <s v="CUST0041"/>
    <x v="6"/>
    <x v="1"/>
    <x v="15"/>
    <n v="4"/>
    <n v="1400"/>
    <n v="15"/>
    <x v="184"/>
    <n v="2711.78"/>
    <n v="2048.2199999999998"/>
    <x v="4"/>
  </r>
  <r>
    <s v="ORD00202"/>
    <x v="51"/>
    <s v="CUST0089"/>
    <x v="2"/>
    <x v="1"/>
    <x v="22"/>
    <n v="2"/>
    <n v="1600"/>
    <n v="20"/>
    <x v="185"/>
    <n v="1507.3"/>
    <n v="1052.7"/>
    <x v="1"/>
  </r>
  <r>
    <s v="ORD00203"/>
    <x v="48"/>
    <s v="CUST0069"/>
    <x v="6"/>
    <x v="3"/>
    <x v="9"/>
    <n v="5"/>
    <n v="1250"/>
    <n v="10"/>
    <x v="186"/>
    <n v="3460.89"/>
    <n v="2164.11"/>
    <x v="1"/>
  </r>
  <r>
    <s v="ORD00204"/>
    <x v="54"/>
    <s v="CUST0064"/>
    <x v="7"/>
    <x v="4"/>
    <x v="20"/>
    <n v="1"/>
    <n v="5250"/>
    <n v="15"/>
    <x v="187"/>
    <n v="3495.58"/>
    <n v="966.92"/>
    <x v="2"/>
  </r>
  <r>
    <s v="ORD00205"/>
    <x v="151"/>
    <s v="CUST0120"/>
    <x v="6"/>
    <x v="2"/>
    <x v="5"/>
    <n v="2"/>
    <n v="1700"/>
    <n v="5"/>
    <x v="188"/>
    <n v="2211.04"/>
    <n v="1018.96"/>
    <x v="2"/>
  </r>
  <r>
    <s v="ORD00206"/>
    <x v="152"/>
    <s v="CUST0056"/>
    <x v="5"/>
    <x v="1"/>
    <x v="1"/>
    <n v="1"/>
    <n v="1800"/>
    <n v="20"/>
    <x v="189"/>
    <n v="969.77"/>
    <n v="470.23"/>
    <x v="2"/>
  </r>
  <r>
    <s v="ORD00207"/>
    <x v="153"/>
    <s v="CUST0121"/>
    <x v="4"/>
    <x v="0"/>
    <x v="0"/>
    <n v="3"/>
    <n v="66050"/>
    <n v="20"/>
    <x v="190"/>
    <n v="124950.48"/>
    <n v="33569.519999999997"/>
    <x v="0"/>
  </r>
  <r>
    <s v="ORD00208"/>
    <x v="154"/>
    <s v="CUST0094"/>
    <x v="8"/>
    <x v="0"/>
    <x v="0"/>
    <n v="4"/>
    <n v="18750"/>
    <n v="10"/>
    <x v="191"/>
    <n v="50383.83"/>
    <n v="17116.169999999998"/>
    <x v="4"/>
  </r>
  <r>
    <s v="ORD00209"/>
    <x v="30"/>
    <s v="CUST0099"/>
    <x v="1"/>
    <x v="0"/>
    <x v="24"/>
    <n v="5"/>
    <n v="26700"/>
    <n v="10"/>
    <x v="192"/>
    <n v="84029.33"/>
    <n v="36120.67"/>
    <x v="4"/>
  </r>
  <r>
    <s v="ORD00210"/>
    <x v="3"/>
    <s v="CUST0101"/>
    <x v="3"/>
    <x v="2"/>
    <x v="5"/>
    <n v="5"/>
    <n v="1550"/>
    <n v="20"/>
    <x v="193"/>
    <n v="3608.89"/>
    <n v="2591.11"/>
    <x v="2"/>
  </r>
  <r>
    <s v="ORD00211"/>
    <x v="155"/>
    <s v="CUST0011"/>
    <x v="8"/>
    <x v="2"/>
    <x v="5"/>
    <n v="2"/>
    <n v="550"/>
    <n v="20"/>
    <x v="123"/>
    <n v="604.97"/>
    <n v="275.02999999999997"/>
    <x v="3"/>
  </r>
  <r>
    <s v="ORD00212"/>
    <x v="151"/>
    <s v="CUST0036"/>
    <x v="3"/>
    <x v="4"/>
    <x v="21"/>
    <n v="4"/>
    <n v="9000"/>
    <n v="15"/>
    <x v="194"/>
    <n v="18060.55"/>
    <n v="12539.45"/>
    <x v="0"/>
  </r>
  <r>
    <s v="ORD00213"/>
    <x v="156"/>
    <s v="CUST0131"/>
    <x v="1"/>
    <x v="3"/>
    <x v="3"/>
    <n v="4"/>
    <n v="5450"/>
    <n v="10"/>
    <x v="195"/>
    <n v="13936.2"/>
    <n v="5683.8"/>
    <x v="4"/>
  </r>
  <r>
    <s v="ORD00214"/>
    <x v="157"/>
    <s v="CUST0107"/>
    <x v="5"/>
    <x v="2"/>
    <x v="5"/>
    <n v="4"/>
    <n v="200"/>
    <n v="10"/>
    <x v="196"/>
    <n v="460.39"/>
    <n v="259.61"/>
    <x v="2"/>
  </r>
  <r>
    <s v="ORD00215"/>
    <x v="70"/>
    <s v="CUST0150"/>
    <x v="6"/>
    <x v="0"/>
    <x v="24"/>
    <n v="4"/>
    <n v="36000"/>
    <n v="20"/>
    <x v="197"/>
    <n v="81326.740000000005"/>
    <n v="33873.26"/>
    <x v="1"/>
  </r>
  <r>
    <s v="ORD00216"/>
    <x v="158"/>
    <s v="CUST0029"/>
    <x v="9"/>
    <x v="2"/>
    <x v="14"/>
    <n v="4"/>
    <n v="450"/>
    <n v="5"/>
    <x v="198"/>
    <n v="955.08"/>
    <n v="754.92"/>
    <x v="3"/>
  </r>
  <r>
    <s v="ORD00217"/>
    <x v="37"/>
    <s v="CUST0129"/>
    <x v="5"/>
    <x v="1"/>
    <x v="13"/>
    <n v="4"/>
    <n v="800"/>
    <n v="15"/>
    <x v="199"/>
    <n v="2003.1"/>
    <n v="716.9"/>
    <x v="4"/>
  </r>
  <r>
    <s v="ORD00218"/>
    <x v="42"/>
    <s v="CUST0123"/>
    <x v="1"/>
    <x v="0"/>
    <x v="18"/>
    <n v="5"/>
    <n v="28400"/>
    <n v="20"/>
    <x v="200"/>
    <n v="72449.919999999998"/>
    <n v="41150.080000000002"/>
    <x v="4"/>
  </r>
  <r>
    <s v="ORD00219"/>
    <x v="159"/>
    <s v="CUST0068"/>
    <x v="5"/>
    <x v="3"/>
    <x v="3"/>
    <n v="4"/>
    <n v="4750"/>
    <n v="10"/>
    <x v="201"/>
    <n v="11927.14"/>
    <n v="5172.8599999999997"/>
    <x v="4"/>
  </r>
  <r>
    <s v="ORD00220"/>
    <x v="88"/>
    <s v="CUST0074"/>
    <x v="9"/>
    <x v="4"/>
    <x v="16"/>
    <n v="3"/>
    <n v="9650"/>
    <n v="10"/>
    <x v="202"/>
    <n v="15912.16"/>
    <n v="10142.84"/>
    <x v="4"/>
  </r>
  <r>
    <s v="ORD00221"/>
    <x v="160"/>
    <s v="CUST0140"/>
    <x v="2"/>
    <x v="3"/>
    <x v="10"/>
    <n v="3"/>
    <n v="5000"/>
    <n v="10"/>
    <x v="203"/>
    <n v="8473.99"/>
    <n v="5026.01"/>
    <x v="4"/>
  </r>
  <r>
    <s v="ORD00222"/>
    <x v="161"/>
    <s v="CUST0089"/>
    <x v="6"/>
    <x v="3"/>
    <x v="3"/>
    <n v="3"/>
    <n v="750"/>
    <n v="10"/>
    <x v="204"/>
    <n v="1636.07"/>
    <n v="388.93"/>
    <x v="2"/>
  </r>
  <r>
    <s v="ORD00223"/>
    <x v="162"/>
    <s v="CUST0070"/>
    <x v="7"/>
    <x v="1"/>
    <x v="15"/>
    <n v="2"/>
    <n v="2400"/>
    <n v="10"/>
    <x v="205"/>
    <n v="3464.28"/>
    <n v="855.72"/>
    <x v="3"/>
  </r>
  <r>
    <s v="ORD00224"/>
    <x v="163"/>
    <s v="CUST0058"/>
    <x v="9"/>
    <x v="2"/>
    <x v="14"/>
    <n v="2"/>
    <n v="650"/>
    <n v="0"/>
    <x v="206"/>
    <n v="950.11"/>
    <n v="349.89"/>
    <x v="3"/>
  </r>
  <r>
    <s v="ORD00225"/>
    <x v="10"/>
    <s v="CUST0002"/>
    <x v="1"/>
    <x v="0"/>
    <x v="6"/>
    <n v="3"/>
    <n v="63100"/>
    <n v="0"/>
    <x v="207"/>
    <n v="138931.4"/>
    <n v="50368.6"/>
    <x v="1"/>
  </r>
  <r>
    <s v="ORD00226"/>
    <x v="75"/>
    <s v="CUST0083"/>
    <x v="4"/>
    <x v="1"/>
    <x v="22"/>
    <n v="4"/>
    <n v="2850"/>
    <n v="5"/>
    <x v="208"/>
    <n v="8166.86"/>
    <n v="2663.14"/>
    <x v="3"/>
  </r>
  <r>
    <s v="ORD00227"/>
    <x v="134"/>
    <s v="CUST0107"/>
    <x v="7"/>
    <x v="0"/>
    <x v="24"/>
    <n v="2"/>
    <n v="71350"/>
    <n v="0"/>
    <x v="209"/>
    <n v="113670.83"/>
    <n v="29029.17"/>
    <x v="3"/>
  </r>
  <r>
    <s v="ORD00228"/>
    <x v="164"/>
    <s v="CUST0077"/>
    <x v="5"/>
    <x v="1"/>
    <x v="22"/>
    <n v="2"/>
    <n v="3250"/>
    <n v="10"/>
    <x v="210"/>
    <n v="4602.32"/>
    <n v="1247.68"/>
    <x v="0"/>
  </r>
  <r>
    <s v="ORD00229"/>
    <x v="165"/>
    <s v="CUST0130"/>
    <x v="6"/>
    <x v="0"/>
    <x v="11"/>
    <n v="3"/>
    <n v="60750"/>
    <n v="20"/>
    <x v="211"/>
    <n v="100830.32"/>
    <n v="44969.68"/>
    <x v="2"/>
  </r>
  <r>
    <s v="ORD00230"/>
    <x v="166"/>
    <s v="CUST0004"/>
    <x v="3"/>
    <x v="4"/>
    <x v="20"/>
    <n v="3"/>
    <n v="3150"/>
    <n v="15"/>
    <x v="212"/>
    <n v="5823.86"/>
    <n v="2208.64"/>
    <x v="2"/>
  </r>
  <r>
    <s v="ORD00231"/>
    <x v="151"/>
    <s v="CUST0084"/>
    <x v="0"/>
    <x v="2"/>
    <x v="7"/>
    <n v="2"/>
    <n v="1400"/>
    <n v="15"/>
    <x v="213"/>
    <n v="1840.42"/>
    <n v="539.58000000000004"/>
    <x v="4"/>
  </r>
  <r>
    <s v="ORD00232"/>
    <x v="2"/>
    <s v="CUST0067"/>
    <x v="2"/>
    <x v="0"/>
    <x v="18"/>
    <n v="2"/>
    <n v="63800"/>
    <n v="10"/>
    <x v="214"/>
    <n v="92178.95"/>
    <n v="22661.05"/>
    <x v="1"/>
  </r>
  <r>
    <s v="ORD00233"/>
    <x v="167"/>
    <s v="CUST0067"/>
    <x v="3"/>
    <x v="1"/>
    <x v="13"/>
    <n v="3"/>
    <n v="1450"/>
    <n v="20"/>
    <x v="215"/>
    <n v="2593.2199999999998"/>
    <n v="886.78"/>
    <x v="1"/>
  </r>
  <r>
    <s v="ORD00234"/>
    <x v="168"/>
    <s v="CUST0080"/>
    <x v="0"/>
    <x v="0"/>
    <x v="0"/>
    <n v="4"/>
    <n v="41400"/>
    <n v="5"/>
    <x v="216"/>
    <n v="103746.64"/>
    <n v="53573.36"/>
    <x v="2"/>
  </r>
  <r>
    <s v="ORD00235"/>
    <x v="109"/>
    <s v="CUST0096"/>
    <x v="2"/>
    <x v="3"/>
    <x v="9"/>
    <n v="2"/>
    <n v="2200"/>
    <n v="5"/>
    <x v="217"/>
    <n v="2838.68"/>
    <n v="1341.32"/>
    <x v="0"/>
  </r>
  <r>
    <s v="ORD00236"/>
    <x v="169"/>
    <s v="CUST0021"/>
    <x v="1"/>
    <x v="1"/>
    <x v="17"/>
    <n v="2"/>
    <n v="3300"/>
    <n v="5"/>
    <x v="218"/>
    <n v="4600.25"/>
    <n v="1669.75"/>
    <x v="4"/>
  </r>
  <r>
    <s v="ORD00237"/>
    <x v="130"/>
    <s v="CUST0130"/>
    <x v="9"/>
    <x v="2"/>
    <x v="5"/>
    <n v="1"/>
    <n v="1300"/>
    <n v="0"/>
    <x v="206"/>
    <n v="736.68"/>
    <n v="563.32000000000005"/>
    <x v="0"/>
  </r>
  <r>
    <s v="ORD00238"/>
    <x v="170"/>
    <s v="CUST0053"/>
    <x v="5"/>
    <x v="2"/>
    <x v="7"/>
    <n v="2"/>
    <n v="800"/>
    <n v="20"/>
    <x v="219"/>
    <n v="856.7"/>
    <n v="423.3"/>
    <x v="4"/>
  </r>
  <r>
    <s v="ORD00239"/>
    <x v="86"/>
    <s v="CUST0117"/>
    <x v="5"/>
    <x v="0"/>
    <x v="24"/>
    <n v="4"/>
    <n v="8500"/>
    <n v="15"/>
    <x v="220"/>
    <n v="16924.560000000001"/>
    <n v="11975.44"/>
    <x v="3"/>
  </r>
  <r>
    <s v="ORD00240"/>
    <x v="171"/>
    <s v="CUST0056"/>
    <x v="5"/>
    <x v="2"/>
    <x v="2"/>
    <n v="3"/>
    <n v="1650"/>
    <n v="0"/>
    <x v="166"/>
    <n v="3251.69"/>
    <n v="1698.31"/>
    <x v="3"/>
  </r>
  <r>
    <s v="ORD00241"/>
    <x v="39"/>
    <s v="CUST0121"/>
    <x v="8"/>
    <x v="0"/>
    <x v="6"/>
    <n v="3"/>
    <n v="9550"/>
    <n v="20"/>
    <x v="221"/>
    <n v="18758.03"/>
    <n v="4161.97"/>
    <x v="2"/>
  </r>
  <r>
    <s v="ORD00242"/>
    <x v="172"/>
    <s v="CUST0115"/>
    <x v="2"/>
    <x v="1"/>
    <x v="15"/>
    <n v="2"/>
    <n v="3350"/>
    <n v="15"/>
    <x v="222"/>
    <n v="3708.04"/>
    <n v="1986.96"/>
    <x v="4"/>
  </r>
  <r>
    <s v="ORD00243"/>
    <x v="173"/>
    <s v="CUST0101"/>
    <x v="1"/>
    <x v="0"/>
    <x v="24"/>
    <n v="2"/>
    <n v="46800"/>
    <n v="0"/>
    <x v="223"/>
    <n v="55990.39"/>
    <n v="37609.61"/>
    <x v="1"/>
  </r>
  <r>
    <s v="ORD00244"/>
    <x v="76"/>
    <s v="CUST0109"/>
    <x v="1"/>
    <x v="4"/>
    <x v="20"/>
    <n v="1"/>
    <n v="5400"/>
    <n v="15"/>
    <x v="224"/>
    <n v="3359.17"/>
    <n v="1230.83"/>
    <x v="4"/>
  </r>
  <r>
    <s v="ORD00245"/>
    <x v="174"/>
    <s v="CUST0009"/>
    <x v="2"/>
    <x v="4"/>
    <x v="16"/>
    <n v="4"/>
    <n v="6150"/>
    <n v="5"/>
    <x v="225"/>
    <n v="14592.82"/>
    <n v="8777.18"/>
    <x v="0"/>
  </r>
  <r>
    <s v="ORD00246"/>
    <x v="175"/>
    <s v="CUST0013"/>
    <x v="9"/>
    <x v="0"/>
    <x v="18"/>
    <n v="2"/>
    <n v="10000"/>
    <n v="0"/>
    <x v="226"/>
    <n v="14207.3"/>
    <n v="5792.7"/>
    <x v="3"/>
  </r>
  <r>
    <s v="ORD00247"/>
    <x v="176"/>
    <s v="CUST0036"/>
    <x v="1"/>
    <x v="1"/>
    <x v="22"/>
    <n v="2"/>
    <n v="2400"/>
    <n v="5"/>
    <x v="227"/>
    <n v="3436.8"/>
    <n v="1123.2"/>
    <x v="2"/>
  </r>
  <r>
    <s v="ORD00248"/>
    <x v="81"/>
    <s v="CUST0061"/>
    <x v="4"/>
    <x v="4"/>
    <x v="23"/>
    <n v="3"/>
    <n v="9950"/>
    <n v="20"/>
    <x v="228"/>
    <n v="18115.02"/>
    <n v="5764.98"/>
    <x v="1"/>
  </r>
  <r>
    <s v="ORD00249"/>
    <x v="89"/>
    <s v="CUST0045"/>
    <x v="2"/>
    <x v="2"/>
    <x v="7"/>
    <n v="4"/>
    <n v="750"/>
    <n v="10"/>
    <x v="229"/>
    <n v="1529.44"/>
    <n v="1170.56"/>
    <x v="0"/>
  </r>
  <r>
    <s v="ORD00250"/>
    <x v="51"/>
    <s v="CUST0107"/>
    <x v="2"/>
    <x v="1"/>
    <x v="1"/>
    <n v="3"/>
    <n v="2850"/>
    <n v="15"/>
    <x v="230"/>
    <n v="5539.05"/>
    <n v="1728.45"/>
    <x v="1"/>
  </r>
  <r>
    <s v="ORD00251"/>
    <x v="18"/>
    <s v="CUST0077"/>
    <x v="7"/>
    <x v="3"/>
    <x v="10"/>
    <n v="2"/>
    <n v="4800"/>
    <n v="15"/>
    <x v="231"/>
    <n v="5018.8999999999996"/>
    <n v="3141.1"/>
    <x v="4"/>
  </r>
  <r>
    <s v="ORD00252"/>
    <x v="177"/>
    <s v="CUST0063"/>
    <x v="4"/>
    <x v="0"/>
    <x v="24"/>
    <n v="4"/>
    <n v="55800"/>
    <n v="20"/>
    <x v="232"/>
    <n v="123759.54"/>
    <n v="54800.46"/>
    <x v="1"/>
  </r>
  <r>
    <s v="ORD00253"/>
    <x v="21"/>
    <s v="CUST0014"/>
    <x v="4"/>
    <x v="3"/>
    <x v="4"/>
    <n v="4"/>
    <n v="3450"/>
    <n v="0"/>
    <x v="233"/>
    <n v="9585.7800000000007"/>
    <n v="4214.22"/>
    <x v="4"/>
  </r>
  <r>
    <s v="ORD00254"/>
    <x v="178"/>
    <s v="CUST0144"/>
    <x v="9"/>
    <x v="2"/>
    <x v="14"/>
    <n v="1"/>
    <n v="300"/>
    <n v="5"/>
    <x v="234"/>
    <n v="218.67"/>
    <n v="66.33"/>
    <x v="4"/>
  </r>
  <r>
    <s v="ORD00255"/>
    <x v="179"/>
    <s v="CUST0123"/>
    <x v="9"/>
    <x v="4"/>
    <x v="21"/>
    <n v="3"/>
    <n v="750"/>
    <n v="5"/>
    <x v="235"/>
    <n v="1716.48"/>
    <n v="421.02"/>
    <x v="0"/>
  </r>
  <r>
    <s v="ORD00256"/>
    <x v="7"/>
    <s v="CUST0120"/>
    <x v="1"/>
    <x v="4"/>
    <x v="8"/>
    <n v="2"/>
    <n v="9550"/>
    <n v="10"/>
    <x v="236"/>
    <n v="13053.89"/>
    <n v="4136.1099999999997"/>
    <x v="2"/>
  </r>
  <r>
    <s v="ORD00257"/>
    <x v="57"/>
    <s v="CUST0082"/>
    <x v="9"/>
    <x v="3"/>
    <x v="19"/>
    <n v="3"/>
    <n v="4600"/>
    <n v="15"/>
    <x v="237"/>
    <n v="7927.38"/>
    <n v="3802.62"/>
    <x v="2"/>
  </r>
  <r>
    <s v="ORD00258"/>
    <x v="66"/>
    <s v="CUST0067"/>
    <x v="1"/>
    <x v="3"/>
    <x v="10"/>
    <n v="1"/>
    <n v="5000"/>
    <n v="5"/>
    <x v="140"/>
    <n v="3563.16"/>
    <n v="1186.8399999999999"/>
    <x v="0"/>
  </r>
  <r>
    <s v="ORD00259"/>
    <x v="7"/>
    <s v="CUST0146"/>
    <x v="9"/>
    <x v="2"/>
    <x v="2"/>
    <n v="3"/>
    <n v="450"/>
    <n v="5"/>
    <x v="238"/>
    <n v="819.6"/>
    <n v="462.9"/>
    <x v="4"/>
  </r>
  <r>
    <s v="ORD00260"/>
    <x v="149"/>
    <s v="CUST0126"/>
    <x v="6"/>
    <x v="2"/>
    <x v="5"/>
    <n v="3"/>
    <n v="1700"/>
    <n v="15"/>
    <x v="239"/>
    <n v="3515.5"/>
    <n v="819.5"/>
    <x v="1"/>
  </r>
  <r>
    <s v="ORD00261"/>
    <x v="180"/>
    <s v="CUST0016"/>
    <x v="1"/>
    <x v="3"/>
    <x v="3"/>
    <n v="2"/>
    <n v="4900"/>
    <n v="15"/>
    <x v="240"/>
    <n v="4995.4399999999996"/>
    <n v="3334.56"/>
    <x v="3"/>
  </r>
  <r>
    <s v="ORD00262"/>
    <x v="181"/>
    <s v="CUST0018"/>
    <x v="7"/>
    <x v="0"/>
    <x v="0"/>
    <n v="1"/>
    <n v="55250"/>
    <n v="5"/>
    <x v="241"/>
    <n v="40808.35"/>
    <n v="11679.15"/>
    <x v="3"/>
  </r>
  <r>
    <s v="ORD00263"/>
    <x v="182"/>
    <s v="CUST0124"/>
    <x v="6"/>
    <x v="4"/>
    <x v="23"/>
    <n v="4"/>
    <n v="6600"/>
    <n v="0"/>
    <x v="242"/>
    <n v="18923.93"/>
    <n v="7476.07"/>
    <x v="3"/>
  </r>
  <r>
    <s v="ORD00264"/>
    <x v="183"/>
    <s v="CUST0138"/>
    <x v="4"/>
    <x v="0"/>
    <x v="24"/>
    <n v="5"/>
    <n v="55100"/>
    <n v="0"/>
    <x v="243"/>
    <n v="152769.17000000001"/>
    <n v="122730.83"/>
    <x v="3"/>
  </r>
  <r>
    <s v="ORD00265"/>
    <x v="152"/>
    <s v="CUST0050"/>
    <x v="5"/>
    <x v="2"/>
    <x v="2"/>
    <n v="2"/>
    <n v="350"/>
    <n v="0"/>
    <x v="244"/>
    <n v="484.11"/>
    <n v="215.89"/>
    <x v="0"/>
  </r>
  <r>
    <s v="ORD00266"/>
    <x v="184"/>
    <s v="CUST0118"/>
    <x v="5"/>
    <x v="3"/>
    <x v="19"/>
    <n v="3"/>
    <n v="3650"/>
    <n v="0"/>
    <x v="245"/>
    <n v="7125.43"/>
    <n v="3824.57"/>
    <x v="1"/>
  </r>
  <r>
    <s v="ORD00267"/>
    <x v="7"/>
    <s v="CUST0097"/>
    <x v="1"/>
    <x v="4"/>
    <x v="21"/>
    <n v="1"/>
    <n v="11200"/>
    <n v="0"/>
    <x v="246"/>
    <n v="6442.75"/>
    <n v="4757.25"/>
    <x v="4"/>
  </r>
  <r>
    <s v="ORD00268"/>
    <x v="22"/>
    <s v="CUST0085"/>
    <x v="5"/>
    <x v="0"/>
    <x v="0"/>
    <n v="2"/>
    <n v="12050"/>
    <n v="15"/>
    <x v="247"/>
    <n v="15942.23"/>
    <n v="4542.7700000000004"/>
    <x v="3"/>
  </r>
  <r>
    <s v="ORD00269"/>
    <x v="117"/>
    <s v="CUST0020"/>
    <x v="4"/>
    <x v="2"/>
    <x v="12"/>
    <n v="2"/>
    <n v="600"/>
    <n v="20"/>
    <x v="248"/>
    <n v="651.25"/>
    <n v="308.75"/>
    <x v="0"/>
  </r>
  <r>
    <s v="ORD00270"/>
    <x v="178"/>
    <s v="CUST0037"/>
    <x v="2"/>
    <x v="2"/>
    <x v="12"/>
    <n v="2"/>
    <n v="800"/>
    <n v="0"/>
    <x v="24"/>
    <n v="1295.3499999999999"/>
    <n v="304.64999999999998"/>
    <x v="3"/>
  </r>
  <r>
    <s v="ORD00271"/>
    <x v="53"/>
    <s v="CUST0139"/>
    <x v="3"/>
    <x v="3"/>
    <x v="3"/>
    <n v="5"/>
    <n v="2350"/>
    <n v="20"/>
    <x v="249"/>
    <n v="7288.34"/>
    <n v="2111.66"/>
    <x v="4"/>
  </r>
  <r>
    <s v="ORD00272"/>
    <x v="181"/>
    <s v="CUST0020"/>
    <x v="3"/>
    <x v="4"/>
    <x v="20"/>
    <n v="5"/>
    <n v="6150"/>
    <n v="0"/>
    <x v="250"/>
    <n v="17723.54"/>
    <n v="13026.46"/>
    <x v="0"/>
  </r>
  <r>
    <s v="ORD00273"/>
    <x v="113"/>
    <s v="CUST0116"/>
    <x v="6"/>
    <x v="2"/>
    <x v="14"/>
    <n v="4"/>
    <n v="1750"/>
    <n v="10"/>
    <x v="3"/>
    <n v="3515.39"/>
    <n v="2784.61"/>
    <x v="1"/>
  </r>
  <r>
    <s v="ORD00274"/>
    <x v="185"/>
    <s v="CUST0098"/>
    <x v="0"/>
    <x v="3"/>
    <x v="9"/>
    <n v="4"/>
    <n v="3950"/>
    <n v="5"/>
    <x v="251"/>
    <n v="11010.1"/>
    <n v="3999.9"/>
    <x v="0"/>
  </r>
  <r>
    <s v="ORD00275"/>
    <x v="186"/>
    <s v="CUST0040"/>
    <x v="2"/>
    <x v="3"/>
    <x v="3"/>
    <n v="1"/>
    <n v="1050"/>
    <n v="10"/>
    <x v="252"/>
    <n v="559.1"/>
    <n v="385.9"/>
    <x v="2"/>
  </r>
  <r>
    <s v="ORD00276"/>
    <x v="187"/>
    <s v="CUST0027"/>
    <x v="7"/>
    <x v="3"/>
    <x v="4"/>
    <n v="1"/>
    <n v="450"/>
    <n v="10"/>
    <x v="253"/>
    <n v="271.38"/>
    <n v="133.62"/>
    <x v="3"/>
  </r>
  <r>
    <s v="ORD00277"/>
    <x v="0"/>
    <s v="CUST0007"/>
    <x v="0"/>
    <x v="4"/>
    <x v="8"/>
    <n v="4"/>
    <n v="9600"/>
    <n v="20"/>
    <x v="254"/>
    <n v="21146.39"/>
    <n v="9573.61"/>
    <x v="2"/>
  </r>
  <r>
    <s v="ORD00278"/>
    <x v="188"/>
    <s v="CUST0075"/>
    <x v="2"/>
    <x v="2"/>
    <x v="12"/>
    <n v="5"/>
    <n v="1350"/>
    <n v="10"/>
    <x v="255"/>
    <n v="4757.96"/>
    <n v="1317.04"/>
    <x v="4"/>
  </r>
  <r>
    <s v="ORD00279"/>
    <x v="189"/>
    <s v="CUST0036"/>
    <x v="4"/>
    <x v="0"/>
    <x v="24"/>
    <n v="2"/>
    <n v="69500"/>
    <n v="5"/>
    <x v="256"/>
    <n v="97061.41"/>
    <n v="34988.589999999997"/>
    <x v="2"/>
  </r>
  <r>
    <s v="ORD00280"/>
    <x v="190"/>
    <s v="CUST0077"/>
    <x v="6"/>
    <x v="3"/>
    <x v="10"/>
    <n v="2"/>
    <n v="900"/>
    <n v="5"/>
    <x v="198"/>
    <n v="1141.19"/>
    <n v="568.80999999999995"/>
    <x v="3"/>
  </r>
  <r>
    <s v="ORD00281"/>
    <x v="191"/>
    <s v="CUST0118"/>
    <x v="0"/>
    <x v="3"/>
    <x v="19"/>
    <n v="2"/>
    <n v="5500"/>
    <n v="15"/>
    <x v="257"/>
    <n v="6641.56"/>
    <n v="2708.44"/>
    <x v="1"/>
  </r>
  <r>
    <s v="ORD00282"/>
    <x v="192"/>
    <s v="CUST0113"/>
    <x v="3"/>
    <x v="3"/>
    <x v="4"/>
    <n v="4"/>
    <n v="3100"/>
    <n v="20"/>
    <x v="258"/>
    <n v="6473.5"/>
    <n v="3446.5"/>
    <x v="4"/>
  </r>
  <r>
    <s v="ORD00283"/>
    <x v="135"/>
    <s v="CUST0123"/>
    <x v="3"/>
    <x v="2"/>
    <x v="7"/>
    <n v="3"/>
    <n v="800"/>
    <n v="20"/>
    <x v="259"/>
    <n v="1547.07"/>
    <n v="372.93"/>
    <x v="1"/>
  </r>
  <r>
    <s v="ORD00284"/>
    <x v="193"/>
    <s v="CUST0084"/>
    <x v="2"/>
    <x v="1"/>
    <x v="13"/>
    <n v="3"/>
    <n v="3200"/>
    <n v="15"/>
    <x v="231"/>
    <n v="6620.18"/>
    <n v="1539.82"/>
    <x v="2"/>
  </r>
  <r>
    <s v="ORD00285"/>
    <x v="194"/>
    <s v="CUST0047"/>
    <x v="1"/>
    <x v="1"/>
    <x v="13"/>
    <n v="1"/>
    <n v="2500"/>
    <n v="5"/>
    <x v="260"/>
    <n v="1686.02"/>
    <n v="688.98"/>
    <x v="3"/>
  </r>
  <r>
    <s v="ORD00286"/>
    <x v="39"/>
    <s v="CUST0105"/>
    <x v="6"/>
    <x v="1"/>
    <x v="15"/>
    <n v="4"/>
    <n v="3450"/>
    <n v="10"/>
    <x v="261"/>
    <n v="9618.6200000000008"/>
    <n v="2801.38"/>
    <x v="1"/>
  </r>
  <r>
    <s v="ORD00287"/>
    <x v="4"/>
    <s v="CUST0019"/>
    <x v="6"/>
    <x v="3"/>
    <x v="3"/>
    <n v="3"/>
    <n v="5800"/>
    <n v="5"/>
    <x v="262"/>
    <n v="12283.67"/>
    <n v="4246.33"/>
    <x v="0"/>
  </r>
  <r>
    <s v="ORD00288"/>
    <x v="126"/>
    <s v="CUST0108"/>
    <x v="1"/>
    <x v="1"/>
    <x v="17"/>
    <n v="4"/>
    <n v="2400"/>
    <n v="20"/>
    <x v="263"/>
    <n v="6138.96"/>
    <n v="1541.04"/>
    <x v="3"/>
  </r>
  <r>
    <s v="ORD00289"/>
    <x v="142"/>
    <s v="CUST0091"/>
    <x v="7"/>
    <x v="3"/>
    <x v="9"/>
    <n v="5"/>
    <n v="5650"/>
    <n v="0"/>
    <x v="264"/>
    <n v="16371.72"/>
    <n v="11878.28"/>
    <x v="0"/>
  </r>
  <r>
    <s v="ORD00290"/>
    <x v="195"/>
    <s v="CUST0067"/>
    <x v="9"/>
    <x v="0"/>
    <x v="24"/>
    <n v="4"/>
    <n v="44650"/>
    <n v="15"/>
    <x v="265"/>
    <n v="87838.03"/>
    <n v="63971.97"/>
    <x v="0"/>
  </r>
  <r>
    <s v="ORD00291"/>
    <x v="196"/>
    <s v="CUST0101"/>
    <x v="6"/>
    <x v="2"/>
    <x v="14"/>
    <n v="5"/>
    <n v="1550"/>
    <n v="20"/>
    <x v="193"/>
    <n v="3780.01"/>
    <n v="2419.9899999999998"/>
    <x v="0"/>
  </r>
  <r>
    <s v="ORD00292"/>
    <x v="86"/>
    <s v="CUST0022"/>
    <x v="0"/>
    <x v="2"/>
    <x v="7"/>
    <n v="3"/>
    <n v="200"/>
    <n v="15"/>
    <x v="266"/>
    <n v="294.89999999999998"/>
    <n v="215.1"/>
    <x v="1"/>
  </r>
  <r>
    <s v="ORD00293"/>
    <x v="197"/>
    <s v="CUST0122"/>
    <x v="0"/>
    <x v="3"/>
    <x v="19"/>
    <n v="3"/>
    <n v="4150"/>
    <n v="5"/>
    <x v="267"/>
    <n v="8169.27"/>
    <n v="3658.23"/>
    <x v="4"/>
  </r>
  <r>
    <s v="ORD00294"/>
    <x v="198"/>
    <s v="CUST0006"/>
    <x v="3"/>
    <x v="1"/>
    <x v="13"/>
    <n v="1"/>
    <n v="1450"/>
    <n v="0"/>
    <x v="268"/>
    <n v="1114.69"/>
    <n v="335.31"/>
    <x v="3"/>
  </r>
  <r>
    <s v="ORD00295"/>
    <x v="199"/>
    <s v="CUST0110"/>
    <x v="6"/>
    <x v="4"/>
    <x v="16"/>
    <n v="5"/>
    <n v="3350"/>
    <n v="20"/>
    <x v="269"/>
    <n v="7949.37"/>
    <n v="5450.63"/>
    <x v="1"/>
  </r>
  <r>
    <s v="ORD00296"/>
    <x v="106"/>
    <s v="CUST0051"/>
    <x v="6"/>
    <x v="1"/>
    <x v="15"/>
    <n v="2"/>
    <n v="2800"/>
    <n v="15"/>
    <x v="184"/>
    <n v="3126.4"/>
    <n v="1633.6"/>
    <x v="0"/>
  </r>
  <r>
    <s v="ORD00297"/>
    <x v="119"/>
    <s v="CUST0017"/>
    <x v="5"/>
    <x v="1"/>
    <x v="22"/>
    <n v="1"/>
    <n v="3100"/>
    <n v="5"/>
    <x v="270"/>
    <n v="1783.38"/>
    <n v="1161.6199999999999"/>
    <x v="3"/>
  </r>
  <r>
    <s v="ORD00298"/>
    <x v="13"/>
    <s v="CUST0126"/>
    <x v="1"/>
    <x v="2"/>
    <x v="7"/>
    <n v="3"/>
    <n v="800"/>
    <n v="5"/>
    <x v="271"/>
    <n v="1535.67"/>
    <n v="744.33"/>
    <x v="2"/>
  </r>
  <r>
    <s v="ORD00299"/>
    <x v="200"/>
    <s v="CUST0118"/>
    <x v="5"/>
    <x v="2"/>
    <x v="2"/>
    <n v="5"/>
    <n v="950"/>
    <n v="20"/>
    <x v="61"/>
    <n v="2207.1999999999998"/>
    <n v="1592.8"/>
    <x v="1"/>
  </r>
  <r>
    <s v="ORD00300"/>
    <x v="201"/>
    <s v="CUST0079"/>
    <x v="0"/>
    <x v="3"/>
    <x v="9"/>
    <n v="5"/>
    <n v="1100"/>
    <n v="5"/>
    <x v="272"/>
    <n v="3315.58"/>
    <n v="1909.42"/>
    <x v="1"/>
  </r>
  <r>
    <s v="ORD00301"/>
    <x v="202"/>
    <s v="CUST0099"/>
    <x v="2"/>
    <x v="3"/>
    <x v="3"/>
    <n v="5"/>
    <n v="3600"/>
    <n v="15"/>
    <x v="273"/>
    <n v="10878.84"/>
    <n v="4421.16"/>
    <x v="1"/>
  </r>
  <r>
    <s v="ORD00302"/>
    <x v="9"/>
    <s v="CUST0048"/>
    <x v="3"/>
    <x v="1"/>
    <x v="17"/>
    <n v="2"/>
    <n v="2450"/>
    <n v="5"/>
    <x v="274"/>
    <n v="3175.66"/>
    <n v="1479.34"/>
    <x v="4"/>
  </r>
  <r>
    <s v="ORD00303"/>
    <x v="203"/>
    <s v="CUST0144"/>
    <x v="1"/>
    <x v="2"/>
    <x v="12"/>
    <n v="3"/>
    <n v="150"/>
    <n v="15"/>
    <x v="275"/>
    <n v="224.48"/>
    <n v="158.02000000000001"/>
    <x v="4"/>
  </r>
  <r>
    <s v="ORD00304"/>
    <x v="138"/>
    <s v="CUST0145"/>
    <x v="8"/>
    <x v="1"/>
    <x v="22"/>
    <n v="4"/>
    <n v="3100"/>
    <n v="15"/>
    <x v="276"/>
    <n v="7187.74"/>
    <n v="3352.26"/>
    <x v="1"/>
  </r>
  <r>
    <s v="ORD00305"/>
    <x v="204"/>
    <s v="CUST0145"/>
    <x v="6"/>
    <x v="3"/>
    <x v="4"/>
    <n v="3"/>
    <n v="2250"/>
    <n v="20"/>
    <x v="277"/>
    <n v="3390.88"/>
    <n v="2009.12"/>
    <x v="0"/>
  </r>
  <r>
    <s v="ORD00306"/>
    <x v="205"/>
    <s v="CUST0139"/>
    <x v="8"/>
    <x v="2"/>
    <x v="12"/>
    <n v="5"/>
    <n v="400"/>
    <n v="10"/>
    <x v="156"/>
    <n v="1366.7"/>
    <n v="433.3"/>
    <x v="4"/>
  </r>
  <r>
    <s v="ORD00307"/>
    <x v="206"/>
    <s v="CUST0116"/>
    <x v="4"/>
    <x v="2"/>
    <x v="7"/>
    <n v="4"/>
    <n v="350"/>
    <n v="5"/>
    <x v="278"/>
    <n v="838.41"/>
    <n v="491.59"/>
    <x v="2"/>
  </r>
  <r>
    <s v="ORD00308"/>
    <x v="207"/>
    <s v="CUST0090"/>
    <x v="5"/>
    <x v="0"/>
    <x v="6"/>
    <n v="1"/>
    <n v="32250"/>
    <n v="5"/>
    <x v="279"/>
    <n v="23556.86"/>
    <n v="7080.64"/>
    <x v="4"/>
  </r>
  <r>
    <s v="ORD00309"/>
    <x v="77"/>
    <s v="CUST0090"/>
    <x v="1"/>
    <x v="4"/>
    <x v="23"/>
    <n v="2"/>
    <n v="3900"/>
    <n v="5"/>
    <x v="280"/>
    <n v="5686.94"/>
    <n v="1723.06"/>
    <x v="2"/>
  </r>
  <r>
    <s v="ORD00310"/>
    <x v="208"/>
    <s v="CUST0132"/>
    <x v="0"/>
    <x v="2"/>
    <x v="14"/>
    <n v="2"/>
    <n v="800"/>
    <n v="10"/>
    <x v="189"/>
    <n v="904.49"/>
    <n v="535.51"/>
    <x v="1"/>
  </r>
  <r>
    <s v="ORD00311"/>
    <x v="31"/>
    <s v="CUST0064"/>
    <x v="7"/>
    <x v="1"/>
    <x v="1"/>
    <n v="3"/>
    <n v="2900"/>
    <n v="5"/>
    <x v="281"/>
    <n v="6111.02"/>
    <n v="2153.98"/>
    <x v="2"/>
  </r>
  <r>
    <s v="ORD00312"/>
    <x v="97"/>
    <s v="CUST0107"/>
    <x v="2"/>
    <x v="4"/>
    <x v="8"/>
    <n v="4"/>
    <n v="2850"/>
    <n v="20"/>
    <x v="282"/>
    <n v="6573.23"/>
    <n v="2546.77"/>
    <x v="4"/>
  </r>
  <r>
    <s v="ORD00313"/>
    <x v="99"/>
    <s v="CUST0117"/>
    <x v="6"/>
    <x v="0"/>
    <x v="0"/>
    <n v="4"/>
    <n v="68800"/>
    <n v="10"/>
    <x v="283"/>
    <n v="182681.33"/>
    <n v="64998.67"/>
    <x v="2"/>
  </r>
  <r>
    <s v="ORD00314"/>
    <x v="209"/>
    <s v="CUST0092"/>
    <x v="0"/>
    <x v="2"/>
    <x v="12"/>
    <n v="1"/>
    <n v="1650"/>
    <n v="15"/>
    <x v="16"/>
    <n v="1011.77"/>
    <n v="390.73"/>
    <x v="0"/>
  </r>
  <r>
    <s v="ORD00315"/>
    <x v="210"/>
    <s v="CUST0087"/>
    <x v="1"/>
    <x v="1"/>
    <x v="15"/>
    <n v="4"/>
    <n v="1050"/>
    <n v="15"/>
    <x v="284"/>
    <n v="2222.34"/>
    <n v="1347.66"/>
    <x v="0"/>
  </r>
  <r>
    <s v="ORD00316"/>
    <x v="84"/>
    <s v="CUST0118"/>
    <x v="8"/>
    <x v="4"/>
    <x v="23"/>
    <n v="4"/>
    <n v="6150"/>
    <n v="0"/>
    <x v="285"/>
    <n v="13835.15"/>
    <n v="10764.85"/>
    <x v="3"/>
  </r>
  <r>
    <s v="ORD00317"/>
    <x v="47"/>
    <s v="CUST0034"/>
    <x v="4"/>
    <x v="4"/>
    <x v="8"/>
    <n v="4"/>
    <n v="500"/>
    <n v="15"/>
    <x v="286"/>
    <n v="1027.8599999999999"/>
    <n v="672.14"/>
    <x v="1"/>
  </r>
  <r>
    <s v="ORD00318"/>
    <x v="211"/>
    <s v="CUST0043"/>
    <x v="8"/>
    <x v="3"/>
    <x v="4"/>
    <n v="3"/>
    <n v="2450"/>
    <n v="0"/>
    <x v="287"/>
    <n v="4780.42"/>
    <n v="2569.58"/>
    <x v="4"/>
  </r>
  <r>
    <s v="ORD00319"/>
    <x v="83"/>
    <s v="CUST0055"/>
    <x v="6"/>
    <x v="3"/>
    <x v="3"/>
    <n v="4"/>
    <n v="5750"/>
    <n v="0"/>
    <x v="288"/>
    <n v="17019.96"/>
    <n v="5980.04"/>
    <x v="3"/>
  </r>
  <r>
    <s v="ORD00320"/>
    <x v="162"/>
    <s v="CUST0088"/>
    <x v="0"/>
    <x v="4"/>
    <x v="23"/>
    <n v="2"/>
    <n v="9000"/>
    <n v="15"/>
    <x v="273"/>
    <n v="8453.36"/>
    <n v="6846.64"/>
    <x v="4"/>
  </r>
  <r>
    <s v="ORD00321"/>
    <x v="0"/>
    <s v="CUST0027"/>
    <x v="3"/>
    <x v="4"/>
    <x v="8"/>
    <n v="1"/>
    <n v="4250"/>
    <n v="15"/>
    <x v="289"/>
    <n v="2074.0100000000002"/>
    <n v="1538.49"/>
    <x v="2"/>
  </r>
  <r>
    <s v="ORD00322"/>
    <x v="122"/>
    <s v="CUST0003"/>
    <x v="5"/>
    <x v="3"/>
    <x v="3"/>
    <n v="4"/>
    <n v="1500"/>
    <n v="5"/>
    <x v="290"/>
    <n v="3240.29"/>
    <n v="2459.71"/>
    <x v="1"/>
  </r>
  <r>
    <s v="ORD00323"/>
    <x v="212"/>
    <s v="CUST0114"/>
    <x v="9"/>
    <x v="1"/>
    <x v="13"/>
    <n v="2"/>
    <n v="2750"/>
    <n v="5"/>
    <x v="272"/>
    <n v="4171.49"/>
    <n v="1053.51"/>
    <x v="3"/>
  </r>
  <r>
    <s v="ORD00324"/>
    <x v="213"/>
    <s v="CUST0036"/>
    <x v="9"/>
    <x v="0"/>
    <x v="18"/>
    <n v="1"/>
    <n v="51550"/>
    <n v="10"/>
    <x v="291"/>
    <n v="37583.53"/>
    <n v="8811.4699999999993"/>
    <x v="2"/>
  </r>
  <r>
    <s v="ORD00325"/>
    <x v="214"/>
    <s v="CUST0078"/>
    <x v="9"/>
    <x v="0"/>
    <x v="18"/>
    <n v="5"/>
    <n v="38550"/>
    <n v="0"/>
    <x v="292"/>
    <n v="150138.92000000001"/>
    <n v="42611.08"/>
    <x v="0"/>
  </r>
  <r>
    <s v="ORD00326"/>
    <x v="71"/>
    <s v="CUST0062"/>
    <x v="6"/>
    <x v="2"/>
    <x v="14"/>
    <n v="2"/>
    <n v="1700"/>
    <n v="15"/>
    <x v="293"/>
    <n v="1820.11"/>
    <n v="1069.8900000000001"/>
    <x v="4"/>
  </r>
  <r>
    <s v="ORD00327"/>
    <x v="188"/>
    <s v="CUST0093"/>
    <x v="3"/>
    <x v="0"/>
    <x v="18"/>
    <n v="4"/>
    <n v="10500"/>
    <n v="20"/>
    <x v="294"/>
    <n v="26542.51"/>
    <n v="7057.49"/>
    <x v="1"/>
  </r>
  <r>
    <s v="ORD00328"/>
    <x v="215"/>
    <s v="CUST0019"/>
    <x v="8"/>
    <x v="1"/>
    <x v="17"/>
    <n v="4"/>
    <n v="1700"/>
    <n v="20"/>
    <x v="155"/>
    <n v="3995.11"/>
    <n v="1444.89"/>
    <x v="0"/>
  </r>
  <r>
    <s v="ORD00329"/>
    <x v="216"/>
    <s v="CUST0130"/>
    <x v="4"/>
    <x v="0"/>
    <x v="0"/>
    <n v="3"/>
    <n v="29500"/>
    <n v="0"/>
    <x v="295"/>
    <n v="70720.03"/>
    <n v="17779.97"/>
    <x v="0"/>
  </r>
  <r>
    <s v="ORD00330"/>
    <x v="110"/>
    <s v="CUST0072"/>
    <x v="0"/>
    <x v="1"/>
    <x v="22"/>
    <n v="4"/>
    <n v="550"/>
    <n v="20"/>
    <x v="296"/>
    <n v="1223.49"/>
    <n v="536.51"/>
    <x v="2"/>
  </r>
  <r>
    <s v="ORD00331"/>
    <x v="178"/>
    <s v="CUST0017"/>
    <x v="4"/>
    <x v="0"/>
    <x v="24"/>
    <n v="2"/>
    <n v="21550"/>
    <n v="20"/>
    <x v="297"/>
    <n v="22005.91"/>
    <n v="12474.09"/>
    <x v="4"/>
  </r>
  <r>
    <s v="ORD00332"/>
    <x v="32"/>
    <s v="CUST0015"/>
    <x v="4"/>
    <x v="4"/>
    <x v="20"/>
    <n v="2"/>
    <n v="1900"/>
    <n v="15"/>
    <x v="188"/>
    <n v="1877.65"/>
    <n v="1352.35"/>
    <x v="1"/>
  </r>
  <r>
    <s v="ORD00333"/>
    <x v="217"/>
    <s v="CUST0134"/>
    <x v="1"/>
    <x v="0"/>
    <x v="0"/>
    <n v="2"/>
    <n v="2700"/>
    <n v="5"/>
    <x v="298"/>
    <n v="3509.08"/>
    <n v="1620.92"/>
    <x v="2"/>
  </r>
  <r>
    <s v="ORD00334"/>
    <x v="218"/>
    <s v="CUST0086"/>
    <x v="2"/>
    <x v="4"/>
    <x v="21"/>
    <n v="2"/>
    <n v="4900"/>
    <n v="0"/>
    <x v="299"/>
    <n v="7431.2"/>
    <n v="2368.8000000000002"/>
    <x v="2"/>
  </r>
  <r>
    <s v="ORD00335"/>
    <x v="93"/>
    <s v="CUST0117"/>
    <x v="1"/>
    <x v="2"/>
    <x v="12"/>
    <n v="3"/>
    <n v="1600"/>
    <n v="20"/>
    <x v="300"/>
    <n v="2762.63"/>
    <n v="1077.3699999999999"/>
    <x v="2"/>
  </r>
  <r>
    <s v="ORD00336"/>
    <x v="0"/>
    <s v="CUST0147"/>
    <x v="0"/>
    <x v="0"/>
    <x v="6"/>
    <n v="5"/>
    <n v="23050"/>
    <n v="10"/>
    <x v="301"/>
    <n v="61454.33"/>
    <n v="42270.67"/>
    <x v="1"/>
  </r>
  <r>
    <s v="ORD00337"/>
    <x v="219"/>
    <s v="CUST0099"/>
    <x v="7"/>
    <x v="2"/>
    <x v="12"/>
    <n v="1"/>
    <n v="200"/>
    <n v="5"/>
    <x v="302"/>
    <n v="106.86"/>
    <n v="83.14"/>
    <x v="1"/>
  </r>
  <r>
    <s v="ORD00338"/>
    <x v="51"/>
    <s v="CUST0070"/>
    <x v="0"/>
    <x v="0"/>
    <x v="24"/>
    <n v="4"/>
    <n v="30650"/>
    <n v="10"/>
    <x v="303"/>
    <n v="68083.210000000006"/>
    <n v="42256.79"/>
    <x v="0"/>
  </r>
  <r>
    <s v="ORD00339"/>
    <x v="220"/>
    <s v="CUST0012"/>
    <x v="2"/>
    <x v="3"/>
    <x v="4"/>
    <n v="5"/>
    <n v="5900"/>
    <n v="0"/>
    <x v="304"/>
    <n v="17653.48"/>
    <n v="11846.52"/>
    <x v="3"/>
  </r>
  <r>
    <s v="ORD00340"/>
    <x v="164"/>
    <s v="CUST0095"/>
    <x v="9"/>
    <x v="1"/>
    <x v="13"/>
    <n v="3"/>
    <n v="1550"/>
    <n v="0"/>
    <x v="305"/>
    <n v="3251.91"/>
    <n v="1398.09"/>
    <x v="2"/>
  </r>
  <r>
    <s v="ORD00341"/>
    <x v="145"/>
    <s v="CUST0051"/>
    <x v="1"/>
    <x v="2"/>
    <x v="5"/>
    <n v="5"/>
    <n v="650"/>
    <n v="15"/>
    <x v="306"/>
    <n v="1794.06"/>
    <n v="968.44"/>
    <x v="1"/>
  </r>
  <r>
    <s v="ORD00342"/>
    <x v="221"/>
    <s v="CUST0003"/>
    <x v="3"/>
    <x v="4"/>
    <x v="20"/>
    <n v="4"/>
    <n v="900"/>
    <n v="5"/>
    <x v="307"/>
    <n v="2381.06"/>
    <n v="1038.94"/>
    <x v="3"/>
  </r>
  <r>
    <s v="ORD00343"/>
    <x v="54"/>
    <s v="CUST0126"/>
    <x v="8"/>
    <x v="1"/>
    <x v="13"/>
    <n v="1"/>
    <n v="1050"/>
    <n v="20"/>
    <x v="308"/>
    <n v="684.97"/>
    <n v="155.03"/>
    <x v="1"/>
  </r>
  <r>
    <s v="ORD00344"/>
    <x v="141"/>
    <s v="CUST0118"/>
    <x v="0"/>
    <x v="3"/>
    <x v="4"/>
    <n v="1"/>
    <n v="2300"/>
    <n v="20"/>
    <x v="309"/>
    <n v="1217.21"/>
    <n v="622.79"/>
    <x v="0"/>
  </r>
  <r>
    <s v="ORD00345"/>
    <x v="123"/>
    <s v="CUST0112"/>
    <x v="7"/>
    <x v="0"/>
    <x v="24"/>
    <n v="2"/>
    <n v="52900"/>
    <n v="0"/>
    <x v="310"/>
    <n v="75098.09"/>
    <n v="30701.91"/>
    <x v="1"/>
  </r>
  <r>
    <s v="ORD00346"/>
    <x v="113"/>
    <s v="CUST0060"/>
    <x v="0"/>
    <x v="3"/>
    <x v="19"/>
    <n v="3"/>
    <n v="3600"/>
    <n v="10"/>
    <x v="311"/>
    <n v="6180.71"/>
    <n v="3539.29"/>
    <x v="1"/>
  </r>
  <r>
    <s v="ORD00347"/>
    <x v="63"/>
    <s v="CUST0081"/>
    <x v="2"/>
    <x v="4"/>
    <x v="23"/>
    <n v="1"/>
    <n v="3050"/>
    <n v="0"/>
    <x v="312"/>
    <n v="1812.86"/>
    <n v="1237.1400000000001"/>
    <x v="3"/>
  </r>
  <r>
    <s v="ORD00348"/>
    <x v="222"/>
    <s v="CUST0024"/>
    <x v="7"/>
    <x v="2"/>
    <x v="5"/>
    <n v="2"/>
    <n v="1100"/>
    <n v="10"/>
    <x v="313"/>
    <n v="1336.71"/>
    <n v="643.29"/>
    <x v="2"/>
  </r>
  <r>
    <s v="ORD00349"/>
    <x v="142"/>
    <s v="CUST0092"/>
    <x v="2"/>
    <x v="2"/>
    <x v="12"/>
    <n v="2"/>
    <n v="800"/>
    <n v="5"/>
    <x v="314"/>
    <n v="873.43"/>
    <n v="646.57000000000005"/>
    <x v="0"/>
  </r>
  <r>
    <s v="ORD00350"/>
    <x v="143"/>
    <s v="CUST0143"/>
    <x v="1"/>
    <x v="0"/>
    <x v="11"/>
    <n v="3"/>
    <n v="24000"/>
    <n v="0"/>
    <x v="315"/>
    <n v="58108.76"/>
    <n v="13891.24"/>
    <x v="1"/>
  </r>
  <r>
    <s v="ORD00351"/>
    <x v="223"/>
    <s v="CUST0034"/>
    <x v="9"/>
    <x v="0"/>
    <x v="6"/>
    <n v="1"/>
    <n v="19500"/>
    <n v="0"/>
    <x v="316"/>
    <n v="10787.95"/>
    <n v="8712.0499999999993"/>
    <x v="4"/>
  </r>
  <r>
    <s v="ORD00352"/>
    <x v="224"/>
    <s v="CUST0006"/>
    <x v="0"/>
    <x v="3"/>
    <x v="4"/>
    <n v="5"/>
    <n v="5200"/>
    <n v="10"/>
    <x v="317"/>
    <n v="18666.310000000001"/>
    <n v="4733.6899999999996"/>
    <x v="1"/>
  </r>
  <r>
    <s v="ORD00353"/>
    <x v="128"/>
    <s v="CUST0013"/>
    <x v="7"/>
    <x v="1"/>
    <x v="15"/>
    <n v="1"/>
    <n v="1550"/>
    <n v="0"/>
    <x v="318"/>
    <n v="870.37"/>
    <n v="679.63"/>
    <x v="0"/>
  </r>
  <r>
    <s v="ORD00354"/>
    <x v="74"/>
    <s v="CUST0091"/>
    <x v="9"/>
    <x v="1"/>
    <x v="22"/>
    <n v="4"/>
    <n v="300"/>
    <n v="15"/>
    <x v="319"/>
    <n v="749.16"/>
    <n v="270.83999999999997"/>
    <x v="1"/>
  </r>
  <r>
    <s v="ORD00355"/>
    <x v="212"/>
    <s v="CUST0063"/>
    <x v="4"/>
    <x v="3"/>
    <x v="19"/>
    <n v="4"/>
    <n v="1600"/>
    <n v="0"/>
    <x v="33"/>
    <n v="4581.18"/>
    <n v="1818.82"/>
    <x v="4"/>
  </r>
  <r>
    <s v="ORD00356"/>
    <x v="10"/>
    <s v="CUST0108"/>
    <x v="9"/>
    <x v="1"/>
    <x v="17"/>
    <n v="4"/>
    <n v="450"/>
    <n v="0"/>
    <x v="156"/>
    <n v="1125.97"/>
    <n v="674.03"/>
    <x v="0"/>
  </r>
  <r>
    <s v="ORD00357"/>
    <x v="20"/>
    <s v="CUST0089"/>
    <x v="5"/>
    <x v="4"/>
    <x v="23"/>
    <n v="1"/>
    <n v="6750"/>
    <n v="10"/>
    <x v="255"/>
    <n v="4128.05"/>
    <n v="1946.95"/>
    <x v="0"/>
  </r>
  <r>
    <s v="ORD00358"/>
    <x v="225"/>
    <s v="CUST0008"/>
    <x v="4"/>
    <x v="3"/>
    <x v="10"/>
    <n v="3"/>
    <n v="1850"/>
    <n v="0"/>
    <x v="320"/>
    <n v="3530.34"/>
    <n v="2019.66"/>
    <x v="3"/>
  </r>
  <r>
    <s v="ORD00359"/>
    <x v="226"/>
    <s v="CUST0026"/>
    <x v="9"/>
    <x v="1"/>
    <x v="17"/>
    <n v="3"/>
    <n v="3350"/>
    <n v="20"/>
    <x v="321"/>
    <n v="6591.94"/>
    <n v="1448.06"/>
    <x v="1"/>
  </r>
  <r>
    <s v="ORD00360"/>
    <x v="177"/>
    <s v="CUST0091"/>
    <x v="7"/>
    <x v="3"/>
    <x v="9"/>
    <n v="1"/>
    <n v="2200"/>
    <n v="20"/>
    <x v="296"/>
    <n v="1370.26"/>
    <n v="389.74"/>
    <x v="1"/>
  </r>
  <r>
    <s v="ORD00361"/>
    <x v="92"/>
    <s v="CUST0091"/>
    <x v="5"/>
    <x v="4"/>
    <x v="23"/>
    <n v="3"/>
    <n v="11950"/>
    <n v="10"/>
    <x v="322"/>
    <n v="25707.93"/>
    <n v="6557.07"/>
    <x v="0"/>
  </r>
  <r>
    <s v="ORD00362"/>
    <x v="227"/>
    <s v="CUST0010"/>
    <x v="0"/>
    <x v="4"/>
    <x v="23"/>
    <n v="2"/>
    <n v="8550"/>
    <n v="20"/>
    <x v="323"/>
    <n v="8665.52"/>
    <n v="5014.4799999999996"/>
    <x v="3"/>
  </r>
  <r>
    <s v="ORD00363"/>
    <x v="228"/>
    <s v="CUST0052"/>
    <x v="7"/>
    <x v="4"/>
    <x v="23"/>
    <n v="2"/>
    <n v="850"/>
    <n v="20"/>
    <x v="324"/>
    <n v="923.52"/>
    <n v="436.48"/>
    <x v="2"/>
  </r>
  <r>
    <s v="ORD00364"/>
    <x v="229"/>
    <s v="CUST0029"/>
    <x v="1"/>
    <x v="4"/>
    <x v="21"/>
    <n v="1"/>
    <n v="850"/>
    <n v="5"/>
    <x v="325"/>
    <n v="572.02"/>
    <n v="235.48"/>
    <x v="2"/>
  </r>
  <r>
    <s v="ORD00365"/>
    <x v="230"/>
    <s v="CUST0041"/>
    <x v="2"/>
    <x v="0"/>
    <x v="11"/>
    <n v="4"/>
    <n v="14450"/>
    <n v="10"/>
    <x v="326"/>
    <n v="32849.410000000003"/>
    <n v="19170.59"/>
    <x v="4"/>
  </r>
  <r>
    <s v="ORD00366"/>
    <x v="207"/>
    <s v="CUST0045"/>
    <x v="2"/>
    <x v="3"/>
    <x v="3"/>
    <n v="5"/>
    <n v="5450"/>
    <n v="10"/>
    <x v="327"/>
    <n v="14966.97"/>
    <n v="9558.0300000000007"/>
    <x v="2"/>
  </r>
  <r>
    <s v="ORD00367"/>
    <x v="231"/>
    <s v="CUST0009"/>
    <x v="7"/>
    <x v="3"/>
    <x v="3"/>
    <n v="2"/>
    <n v="400"/>
    <n v="20"/>
    <x v="328"/>
    <n v="419.67"/>
    <n v="220.33"/>
    <x v="0"/>
  </r>
  <r>
    <s v="ORD00368"/>
    <x v="93"/>
    <s v="CUST0037"/>
    <x v="3"/>
    <x v="3"/>
    <x v="9"/>
    <n v="2"/>
    <n v="5650"/>
    <n v="20"/>
    <x v="329"/>
    <n v="5226.1099999999997"/>
    <n v="3813.89"/>
    <x v="3"/>
  </r>
  <r>
    <s v="ORD00369"/>
    <x v="102"/>
    <s v="CUST0086"/>
    <x v="6"/>
    <x v="4"/>
    <x v="21"/>
    <n v="3"/>
    <n v="3250"/>
    <n v="0"/>
    <x v="330"/>
    <n v="7525.52"/>
    <n v="2224.48"/>
    <x v="3"/>
  </r>
  <r>
    <s v="ORD00370"/>
    <x v="60"/>
    <s v="CUST0001"/>
    <x v="8"/>
    <x v="3"/>
    <x v="3"/>
    <n v="2"/>
    <n v="950"/>
    <n v="10"/>
    <x v="198"/>
    <n v="1059"/>
    <n v="651"/>
    <x v="4"/>
  </r>
  <r>
    <s v="ORD00371"/>
    <x v="232"/>
    <s v="CUST0140"/>
    <x v="2"/>
    <x v="1"/>
    <x v="22"/>
    <n v="2"/>
    <n v="1900"/>
    <n v="15"/>
    <x v="188"/>
    <n v="2545.4899999999998"/>
    <n v="684.51"/>
    <x v="3"/>
  </r>
  <r>
    <s v="ORD00372"/>
    <x v="233"/>
    <s v="CUST0076"/>
    <x v="8"/>
    <x v="1"/>
    <x v="17"/>
    <n v="2"/>
    <n v="850"/>
    <n v="15"/>
    <x v="331"/>
    <n v="823.51"/>
    <n v="621.49"/>
    <x v="2"/>
  </r>
  <r>
    <s v="ORD00373"/>
    <x v="14"/>
    <s v="CUST0020"/>
    <x v="1"/>
    <x v="3"/>
    <x v="4"/>
    <n v="1"/>
    <n v="3200"/>
    <n v="5"/>
    <x v="332"/>
    <n v="2400.81"/>
    <n v="639.19000000000005"/>
    <x v="3"/>
  </r>
  <r>
    <s v="ORD00374"/>
    <x v="153"/>
    <s v="CUST0043"/>
    <x v="5"/>
    <x v="3"/>
    <x v="9"/>
    <n v="5"/>
    <n v="4350"/>
    <n v="0"/>
    <x v="333"/>
    <n v="14495.45"/>
    <n v="7254.55"/>
    <x v="4"/>
  </r>
  <r>
    <s v="ORD00375"/>
    <x v="234"/>
    <s v="CUST0142"/>
    <x v="1"/>
    <x v="4"/>
    <x v="20"/>
    <n v="1"/>
    <n v="5900"/>
    <n v="5"/>
    <x v="334"/>
    <n v="4557.3599999999997"/>
    <n v="1047.6400000000001"/>
    <x v="2"/>
  </r>
  <r>
    <s v="ORD00376"/>
    <x v="82"/>
    <s v="CUST0126"/>
    <x v="7"/>
    <x v="3"/>
    <x v="19"/>
    <n v="2"/>
    <n v="1200"/>
    <n v="0"/>
    <x v="48"/>
    <n v="1574.6"/>
    <n v="825.4"/>
    <x v="3"/>
  </r>
  <r>
    <s v="ORD00377"/>
    <x v="84"/>
    <s v="CUST0123"/>
    <x v="9"/>
    <x v="3"/>
    <x v="4"/>
    <n v="4"/>
    <n v="1100"/>
    <n v="10"/>
    <x v="165"/>
    <n v="3058.91"/>
    <n v="901.09"/>
    <x v="3"/>
  </r>
  <r>
    <s v="ORD00378"/>
    <x v="235"/>
    <s v="CUST0079"/>
    <x v="2"/>
    <x v="0"/>
    <x v="18"/>
    <n v="2"/>
    <n v="39450"/>
    <n v="0"/>
    <x v="335"/>
    <n v="53483.48"/>
    <n v="25416.52"/>
    <x v="4"/>
  </r>
  <r>
    <s v="ORD00379"/>
    <x v="236"/>
    <s v="CUST0098"/>
    <x v="3"/>
    <x v="1"/>
    <x v="13"/>
    <n v="1"/>
    <n v="2850"/>
    <n v="20"/>
    <x v="271"/>
    <n v="1492.56"/>
    <n v="787.44"/>
    <x v="1"/>
  </r>
  <r>
    <s v="ORD00380"/>
    <x v="237"/>
    <s v="CUST0145"/>
    <x v="8"/>
    <x v="1"/>
    <x v="1"/>
    <n v="3"/>
    <n v="2000"/>
    <n v="15"/>
    <x v="34"/>
    <n v="3167.7"/>
    <n v="1932.3"/>
    <x v="1"/>
  </r>
  <r>
    <s v="ORD00381"/>
    <x v="207"/>
    <s v="CUST0059"/>
    <x v="1"/>
    <x v="0"/>
    <x v="0"/>
    <n v="3"/>
    <n v="72150"/>
    <n v="15"/>
    <x v="336"/>
    <n v="149410.44"/>
    <n v="34572.06"/>
    <x v="3"/>
  </r>
  <r>
    <s v="ORD00382"/>
    <x v="46"/>
    <s v="CUST0122"/>
    <x v="4"/>
    <x v="1"/>
    <x v="17"/>
    <n v="4"/>
    <n v="2400"/>
    <n v="15"/>
    <x v="231"/>
    <n v="5749.8"/>
    <n v="2410.1999999999998"/>
    <x v="3"/>
  </r>
  <r>
    <s v="ORD00383"/>
    <x v="159"/>
    <s v="CUST0038"/>
    <x v="0"/>
    <x v="1"/>
    <x v="1"/>
    <n v="5"/>
    <n v="2550"/>
    <n v="20"/>
    <x v="337"/>
    <n v="7814.44"/>
    <n v="2385.56"/>
    <x v="4"/>
  </r>
  <r>
    <s v="ORD00384"/>
    <x v="161"/>
    <s v="CUST0112"/>
    <x v="9"/>
    <x v="4"/>
    <x v="16"/>
    <n v="2"/>
    <n v="3650"/>
    <n v="5"/>
    <x v="338"/>
    <n v="3894.16"/>
    <n v="3040.84"/>
    <x v="1"/>
  </r>
  <r>
    <s v="ORD00385"/>
    <x v="25"/>
    <s v="CUST0102"/>
    <x v="1"/>
    <x v="2"/>
    <x v="5"/>
    <n v="3"/>
    <n v="1650"/>
    <n v="0"/>
    <x v="166"/>
    <n v="2838.81"/>
    <n v="2111.19"/>
    <x v="2"/>
  </r>
  <r>
    <s v="ORD00386"/>
    <x v="54"/>
    <s v="CUST0029"/>
    <x v="2"/>
    <x v="3"/>
    <x v="9"/>
    <n v="4"/>
    <n v="500"/>
    <n v="20"/>
    <x v="24"/>
    <n v="1133.83"/>
    <n v="466.17"/>
    <x v="1"/>
  </r>
  <r>
    <s v="ORD00387"/>
    <x v="122"/>
    <s v="CUST0026"/>
    <x v="4"/>
    <x v="4"/>
    <x v="23"/>
    <n v="5"/>
    <n v="10050"/>
    <n v="0"/>
    <x v="339"/>
    <n v="40186.46"/>
    <n v="10063.540000000001"/>
    <x v="0"/>
  </r>
  <r>
    <s v="ORD00388"/>
    <x v="238"/>
    <s v="CUST0010"/>
    <x v="7"/>
    <x v="3"/>
    <x v="10"/>
    <n v="3"/>
    <n v="3550"/>
    <n v="15"/>
    <x v="340"/>
    <n v="6377"/>
    <n v="2675.5"/>
    <x v="2"/>
  </r>
  <r>
    <s v="ORD00389"/>
    <x v="228"/>
    <s v="CUST0061"/>
    <x v="8"/>
    <x v="1"/>
    <x v="15"/>
    <n v="5"/>
    <n v="2700"/>
    <n v="15"/>
    <x v="341"/>
    <n v="6431.41"/>
    <n v="5043.59"/>
    <x v="4"/>
  </r>
  <r>
    <s v="ORD00390"/>
    <x v="227"/>
    <s v="CUST0026"/>
    <x v="9"/>
    <x v="3"/>
    <x v="19"/>
    <n v="1"/>
    <n v="3150"/>
    <n v="10"/>
    <x v="342"/>
    <n v="1797.27"/>
    <n v="1037.73"/>
    <x v="1"/>
  </r>
  <r>
    <s v="ORD00391"/>
    <x v="239"/>
    <s v="CUST0049"/>
    <x v="6"/>
    <x v="3"/>
    <x v="10"/>
    <n v="3"/>
    <n v="2600"/>
    <n v="15"/>
    <x v="82"/>
    <n v="4729.47"/>
    <n v="1900.53"/>
    <x v="1"/>
  </r>
  <r>
    <s v="ORD00392"/>
    <x v="226"/>
    <s v="CUST0017"/>
    <x v="4"/>
    <x v="1"/>
    <x v="22"/>
    <n v="5"/>
    <n v="1750"/>
    <n v="0"/>
    <x v="67"/>
    <n v="6029.82"/>
    <n v="2720.18"/>
    <x v="0"/>
  </r>
  <r>
    <s v="ORD00393"/>
    <x v="135"/>
    <s v="CUST0015"/>
    <x v="9"/>
    <x v="1"/>
    <x v="15"/>
    <n v="5"/>
    <n v="2550"/>
    <n v="0"/>
    <x v="343"/>
    <n v="7610.59"/>
    <n v="5139.41"/>
    <x v="3"/>
  </r>
  <r>
    <s v="ORD00394"/>
    <x v="64"/>
    <s v="CUST0130"/>
    <x v="2"/>
    <x v="1"/>
    <x v="1"/>
    <n v="3"/>
    <n v="3100"/>
    <n v="5"/>
    <x v="344"/>
    <n v="5512.81"/>
    <n v="3322.19"/>
    <x v="3"/>
  </r>
  <r>
    <s v="ORD00395"/>
    <x v="238"/>
    <s v="CUST0142"/>
    <x v="3"/>
    <x v="0"/>
    <x v="18"/>
    <n v="3"/>
    <n v="65250"/>
    <n v="20"/>
    <x v="345"/>
    <n v="104992.15"/>
    <n v="51607.85"/>
    <x v="2"/>
  </r>
  <r>
    <s v="ORD00396"/>
    <x v="240"/>
    <s v="CUST0147"/>
    <x v="9"/>
    <x v="4"/>
    <x v="21"/>
    <n v="1"/>
    <n v="5150"/>
    <n v="0"/>
    <x v="346"/>
    <n v="3370.02"/>
    <n v="1779.98"/>
    <x v="1"/>
  </r>
  <r>
    <s v="ORD00397"/>
    <x v="241"/>
    <s v="CUST0003"/>
    <x v="6"/>
    <x v="4"/>
    <x v="16"/>
    <n v="3"/>
    <n v="11200"/>
    <n v="15"/>
    <x v="347"/>
    <n v="19666.009999999998"/>
    <n v="8893.99"/>
    <x v="1"/>
  </r>
  <r>
    <s v="ORD00398"/>
    <x v="242"/>
    <s v="CUST0071"/>
    <x v="2"/>
    <x v="4"/>
    <x v="23"/>
    <n v="1"/>
    <n v="4150"/>
    <n v="10"/>
    <x v="348"/>
    <n v="2667.73"/>
    <n v="1067.27"/>
    <x v="4"/>
  </r>
  <r>
    <s v="ORD00399"/>
    <x v="243"/>
    <s v="CUST0102"/>
    <x v="5"/>
    <x v="3"/>
    <x v="10"/>
    <n v="3"/>
    <n v="2200"/>
    <n v="15"/>
    <x v="349"/>
    <n v="3543.16"/>
    <n v="2066.84"/>
    <x v="3"/>
  </r>
  <r>
    <s v="ORD00400"/>
    <x v="88"/>
    <s v="CUST0028"/>
    <x v="6"/>
    <x v="0"/>
    <x v="24"/>
    <n v="3"/>
    <n v="74800"/>
    <n v="20"/>
    <x v="350"/>
    <n v="128256.9"/>
    <n v="51263.1"/>
    <x v="3"/>
  </r>
  <r>
    <s v="ORD00401"/>
    <x v="23"/>
    <s v="CUST0077"/>
    <x v="9"/>
    <x v="3"/>
    <x v="19"/>
    <n v="3"/>
    <n v="2650"/>
    <n v="10"/>
    <x v="351"/>
    <n v="5202.7700000000004"/>
    <n v="1952.23"/>
    <x v="1"/>
  </r>
  <r>
    <s v="ORD00402"/>
    <x v="51"/>
    <s v="CUST0036"/>
    <x v="8"/>
    <x v="2"/>
    <x v="7"/>
    <n v="1"/>
    <n v="1800"/>
    <n v="20"/>
    <x v="189"/>
    <n v="949.11"/>
    <n v="490.89"/>
    <x v="4"/>
  </r>
  <r>
    <s v="ORD00403"/>
    <x v="244"/>
    <s v="CUST0147"/>
    <x v="9"/>
    <x v="3"/>
    <x v="19"/>
    <n v="4"/>
    <n v="3700"/>
    <n v="15"/>
    <x v="352"/>
    <n v="9421.3799999999992"/>
    <n v="3158.62"/>
    <x v="2"/>
  </r>
  <r>
    <s v="ORD00404"/>
    <x v="245"/>
    <s v="CUST0143"/>
    <x v="7"/>
    <x v="4"/>
    <x v="23"/>
    <n v="4"/>
    <n v="11500"/>
    <n v="10"/>
    <x v="353"/>
    <n v="28440.77"/>
    <n v="12959.23"/>
    <x v="2"/>
  </r>
  <r>
    <s v="ORD00405"/>
    <x v="246"/>
    <s v="CUST0086"/>
    <x v="0"/>
    <x v="0"/>
    <x v="6"/>
    <n v="2"/>
    <n v="35100"/>
    <n v="20"/>
    <x v="354"/>
    <n v="42456.28"/>
    <n v="13703.72"/>
    <x v="1"/>
  </r>
  <r>
    <s v="ORD00406"/>
    <x v="247"/>
    <s v="CUST0076"/>
    <x v="6"/>
    <x v="3"/>
    <x v="3"/>
    <n v="3"/>
    <n v="3850"/>
    <n v="10"/>
    <x v="62"/>
    <n v="6760.43"/>
    <n v="3634.57"/>
    <x v="3"/>
  </r>
  <r>
    <s v="ORD00407"/>
    <x v="248"/>
    <s v="CUST0129"/>
    <x v="0"/>
    <x v="1"/>
    <x v="1"/>
    <n v="5"/>
    <n v="2600"/>
    <n v="20"/>
    <x v="355"/>
    <n v="5919.97"/>
    <n v="4480.03"/>
    <x v="4"/>
  </r>
  <r>
    <s v="ORD00408"/>
    <x v="135"/>
    <s v="CUST0088"/>
    <x v="2"/>
    <x v="2"/>
    <x v="5"/>
    <n v="4"/>
    <n v="250"/>
    <n v="5"/>
    <x v="356"/>
    <n v="557.73"/>
    <n v="392.27"/>
    <x v="0"/>
  </r>
  <r>
    <s v="ORD00409"/>
    <x v="249"/>
    <s v="CUST0086"/>
    <x v="7"/>
    <x v="1"/>
    <x v="15"/>
    <n v="3"/>
    <n v="3150"/>
    <n v="5"/>
    <x v="357"/>
    <n v="6825.72"/>
    <n v="2151.7800000000002"/>
    <x v="2"/>
  </r>
  <r>
    <s v="ORD00410"/>
    <x v="189"/>
    <s v="CUST0148"/>
    <x v="7"/>
    <x v="0"/>
    <x v="0"/>
    <n v="4"/>
    <n v="37050"/>
    <n v="5"/>
    <x v="358"/>
    <n v="106369.97"/>
    <n v="34420.03"/>
    <x v="4"/>
  </r>
  <r>
    <s v="ORD00411"/>
    <x v="250"/>
    <s v="CUST0099"/>
    <x v="8"/>
    <x v="0"/>
    <x v="18"/>
    <n v="5"/>
    <n v="58050"/>
    <n v="15"/>
    <x v="359"/>
    <n v="162562.87"/>
    <n v="84149.63"/>
    <x v="3"/>
  </r>
  <r>
    <s v="ORD00412"/>
    <x v="163"/>
    <s v="CUST0049"/>
    <x v="8"/>
    <x v="2"/>
    <x v="7"/>
    <n v="3"/>
    <n v="200"/>
    <n v="10"/>
    <x v="360"/>
    <n v="407.35"/>
    <n v="132.65"/>
    <x v="3"/>
  </r>
  <r>
    <s v="ORD00413"/>
    <x v="168"/>
    <s v="CUST0079"/>
    <x v="7"/>
    <x v="4"/>
    <x v="16"/>
    <n v="3"/>
    <n v="5600"/>
    <n v="5"/>
    <x v="361"/>
    <n v="9220.59"/>
    <n v="6739.41"/>
    <x v="3"/>
  </r>
  <r>
    <s v="ORD00414"/>
    <x v="251"/>
    <s v="CUST0112"/>
    <x v="7"/>
    <x v="0"/>
    <x v="11"/>
    <n v="3"/>
    <n v="60950"/>
    <n v="20"/>
    <x v="362"/>
    <n v="104007.99"/>
    <n v="42272.01"/>
    <x v="2"/>
  </r>
  <r>
    <s v="ORD00415"/>
    <x v="252"/>
    <s v="CUST0034"/>
    <x v="9"/>
    <x v="1"/>
    <x v="13"/>
    <n v="2"/>
    <n v="900"/>
    <n v="15"/>
    <x v="363"/>
    <n v="849.4"/>
    <n v="680.6"/>
    <x v="3"/>
  </r>
  <r>
    <s v="ORD00416"/>
    <x v="101"/>
    <s v="CUST0097"/>
    <x v="4"/>
    <x v="2"/>
    <x v="14"/>
    <n v="2"/>
    <n v="400"/>
    <n v="10"/>
    <x v="196"/>
    <n v="534.24"/>
    <n v="185.76"/>
    <x v="0"/>
  </r>
  <r>
    <s v="ORD00417"/>
    <x v="253"/>
    <s v="CUST0013"/>
    <x v="0"/>
    <x v="2"/>
    <x v="12"/>
    <n v="5"/>
    <n v="250"/>
    <n v="0"/>
    <x v="182"/>
    <n v="908.08"/>
    <n v="341.92"/>
    <x v="4"/>
  </r>
  <r>
    <s v="ORD00418"/>
    <x v="110"/>
    <s v="CUST0053"/>
    <x v="8"/>
    <x v="1"/>
    <x v="22"/>
    <n v="1"/>
    <n v="2450"/>
    <n v="10"/>
    <x v="364"/>
    <n v="1495.18"/>
    <n v="709.82"/>
    <x v="2"/>
  </r>
  <r>
    <s v="ORD00419"/>
    <x v="10"/>
    <s v="CUST0108"/>
    <x v="0"/>
    <x v="1"/>
    <x v="1"/>
    <n v="5"/>
    <n v="1300"/>
    <n v="20"/>
    <x v="365"/>
    <n v="3710.31"/>
    <n v="1489.69"/>
    <x v="0"/>
  </r>
  <r>
    <s v="ORD00420"/>
    <x v="254"/>
    <s v="CUST0052"/>
    <x v="4"/>
    <x v="2"/>
    <x v="12"/>
    <n v="3"/>
    <n v="400"/>
    <n v="0"/>
    <x v="366"/>
    <n v="821.27"/>
    <n v="378.73"/>
    <x v="0"/>
  </r>
  <r>
    <s v="ORD00421"/>
    <x v="93"/>
    <s v="CUST0054"/>
    <x v="6"/>
    <x v="4"/>
    <x v="21"/>
    <n v="4"/>
    <n v="5350"/>
    <n v="5"/>
    <x v="367"/>
    <n v="11397.8"/>
    <n v="8932.2000000000007"/>
    <x v="2"/>
  </r>
  <r>
    <s v="ORD00422"/>
    <x v="160"/>
    <s v="CUST0127"/>
    <x v="7"/>
    <x v="4"/>
    <x v="20"/>
    <n v="1"/>
    <n v="11500"/>
    <n v="0"/>
    <x v="368"/>
    <n v="9140.86"/>
    <n v="2359.14"/>
    <x v="3"/>
  </r>
  <r>
    <s v="ORD00423"/>
    <x v="95"/>
    <s v="CUST0068"/>
    <x v="6"/>
    <x v="2"/>
    <x v="12"/>
    <n v="1"/>
    <n v="650"/>
    <n v="5"/>
    <x v="181"/>
    <n v="415.78"/>
    <n v="201.72"/>
    <x v="3"/>
  </r>
  <r>
    <s v="ORD00424"/>
    <x v="26"/>
    <s v="CUST0110"/>
    <x v="0"/>
    <x v="0"/>
    <x v="18"/>
    <n v="1"/>
    <n v="39300"/>
    <n v="10"/>
    <x v="369"/>
    <n v="27108.66"/>
    <n v="8261.34"/>
    <x v="3"/>
  </r>
  <r>
    <s v="ORD00425"/>
    <x v="78"/>
    <s v="CUST0069"/>
    <x v="0"/>
    <x v="0"/>
    <x v="0"/>
    <n v="2"/>
    <n v="23550"/>
    <n v="10"/>
    <x v="370"/>
    <n v="27406.51"/>
    <n v="14983.49"/>
    <x v="2"/>
  </r>
  <r>
    <s v="ORD00426"/>
    <x v="113"/>
    <s v="CUST0099"/>
    <x v="6"/>
    <x v="3"/>
    <x v="3"/>
    <n v="1"/>
    <n v="3700"/>
    <n v="15"/>
    <x v="371"/>
    <n v="2546.9"/>
    <n v="598.1"/>
    <x v="4"/>
  </r>
  <r>
    <s v="ORD00427"/>
    <x v="226"/>
    <s v="CUST0027"/>
    <x v="2"/>
    <x v="4"/>
    <x v="20"/>
    <n v="2"/>
    <n v="11900"/>
    <n v="0"/>
    <x v="372"/>
    <n v="19397.560000000001"/>
    <n v="4402.4399999999996"/>
    <x v="0"/>
  </r>
  <r>
    <s v="ORD00428"/>
    <x v="255"/>
    <s v="CUST0008"/>
    <x v="7"/>
    <x v="1"/>
    <x v="17"/>
    <n v="4"/>
    <n v="950"/>
    <n v="20"/>
    <x v="332"/>
    <n v="1983.7"/>
    <n v="1056.3"/>
    <x v="4"/>
  </r>
  <r>
    <s v="ORD00429"/>
    <x v="90"/>
    <s v="CUST0081"/>
    <x v="8"/>
    <x v="1"/>
    <x v="1"/>
    <n v="4"/>
    <n v="2000"/>
    <n v="0"/>
    <x v="373"/>
    <n v="4536.8100000000004"/>
    <n v="3463.19"/>
    <x v="0"/>
  </r>
  <r>
    <s v="ORD00430"/>
    <x v="47"/>
    <s v="CUST0025"/>
    <x v="2"/>
    <x v="2"/>
    <x v="14"/>
    <n v="2"/>
    <n v="1500"/>
    <n v="10"/>
    <x v="229"/>
    <n v="1863.42"/>
    <n v="836.58"/>
    <x v="1"/>
  </r>
  <r>
    <s v="ORD00431"/>
    <x v="32"/>
    <s v="CUST0014"/>
    <x v="8"/>
    <x v="1"/>
    <x v="13"/>
    <n v="4"/>
    <n v="800"/>
    <n v="20"/>
    <x v="185"/>
    <n v="2024.59"/>
    <n v="535.41"/>
    <x v="1"/>
  </r>
  <r>
    <s v="ORD00432"/>
    <x v="81"/>
    <s v="CUST0062"/>
    <x v="3"/>
    <x v="2"/>
    <x v="2"/>
    <n v="4"/>
    <n v="500"/>
    <n v="0"/>
    <x v="374"/>
    <n v="1505.77"/>
    <n v="494.23"/>
    <x v="2"/>
  </r>
  <r>
    <s v="ORD00433"/>
    <x v="46"/>
    <s v="CUST0021"/>
    <x v="6"/>
    <x v="0"/>
    <x v="24"/>
    <n v="2"/>
    <n v="73350"/>
    <n v="15"/>
    <x v="375"/>
    <n v="82159.64"/>
    <n v="42535.360000000001"/>
    <x v="4"/>
  </r>
  <r>
    <s v="ORD00434"/>
    <x v="93"/>
    <s v="CUST0005"/>
    <x v="0"/>
    <x v="2"/>
    <x v="2"/>
    <n v="1"/>
    <n v="1150"/>
    <n v="15"/>
    <x v="376"/>
    <n v="621.04"/>
    <n v="356.46"/>
    <x v="4"/>
  </r>
  <r>
    <s v="ORD00435"/>
    <x v="256"/>
    <s v="CUST0078"/>
    <x v="1"/>
    <x v="1"/>
    <x v="1"/>
    <n v="5"/>
    <n v="2450"/>
    <n v="0"/>
    <x v="377"/>
    <n v="9469.19"/>
    <n v="2780.81"/>
    <x v="0"/>
  </r>
  <r>
    <s v="ORD00436"/>
    <x v="109"/>
    <s v="CUST0085"/>
    <x v="1"/>
    <x v="4"/>
    <x v="8"/>
    <n v="3"/>
    <n v="6450"/>
    <n v="0"/>
    <x v="378"/>
    <n v="14908.77"/>
    <n v="4441.2299999999996"/>
    <x v="0"/>
  </r>
  <r>
    <s v="ORD00437"/>
    <x v="214"/>
    <s v="CUST0057"/>
    <x v="8"/>
    <x v="2"/>
    <x v="2"/>
    <n v="3"/>
    <n v="1600"/>
    <n v="15"/>
    <x v="75"/>
    <n v="2369.61"/>
    <n v="1710.39"/>
    <x v="2"/>
  </r>
  <r>
    <s v="ORD00438"/>
    <x v="117"/>
    <s v="CUST0043"/>
    <x v="6"/>
    <x v="3"/>
    <x v="19"/>
    <n v="5"/>
    <n v="4700"/>
    <n v="10"/>
    <x v="379"/>
    <n v="15641.82"/>
    <n v="5508.18"/>
    <x v="1"/>
  </r>
  <r>
    <s v="ORD00439"/>
    <x v="257"/>
    <s v="CUST0056"/>
    <x v="6"/>
    <x v="1"/>
    <x v="1"/>
    <n v="3"/>
    <n v="2700"/>
    <n v="5"/>
    <x v="380"/>
    <n v="4621.8999999999996"/>
    <n v="3073.1"/>
    <x v="1"/>
  </r>
  <r>
    <s v="ORD00440"/>
    <x v="258"/>
    <s v="CUST0118"/>
    <x v="5"/>
    <x v="3"/>
    <x v="4"/>
    <n v="4"/>
    <n v="800"/>
    <n v="20"/>
    <x v="185"/>
    <n v="1493.17"/>
    <n v="1066.83"/>
    <x v="0"/>
  </r>
  <r>
    <s v="ORD00441"/>
    <x v="259"/>
    <s v="CUST0150"/>
    <x v="6"/>
    <x v="4"/>
    <x v="8"/>
    <n v="1"/>
    <n v="9200"/>
    <n v="0"/>
    <x v="381"/>
    <n v="6434.21"/>
    <n v="2765.79"/>
    <x v="0"/>
  </r>
  <r>
    <s v="ORD00442"/>
    <x v="260"/>
    <s v="CUST0083"/>
    <x v="1"/>
    <x v="4"/>
    <x v="23"/>
    <n v="2"/>
    <n v="2600"/>
    <n v="0"/>
    <x v="365"/>
    <n v="3403.92"/>
    <n v="1796.08"/>
    <x v="4"/>
  </r>
  <r>
    <s v="ORD00443"/>
    <x v="261"/>
    <s v="CUST0116"/>
    <x v="7"/>
    <x v="1"/>
    <x v="17"/>
    <n v="2"/>
    <n v="1300"/>
    <n v="15"/>
    <x v="21"/>
    <n v="1790.48"/>
    <n v="419.52"/>
    <x v="1"/>
  </r>
  <r>
    <s v="ORD00444"/>
    <x v="186"/>
    <s v="CUST0142"/>
    <x v="9"/>
    <x v="1"/>
    <x v="17"/>
    <n v="5"/>
    <n v="1400"/>
    <n v="20"/>
    <x v="382"/>
    <n v="4381.3900000000003"/>
    <n v="1218.6099999999999"/>
    <x v="1"/>
  </r>
  <r>
    <s v="ORD00445"/>
    <x v="31"/>
    <s v="CUST0046"/>
    <x v="1"/>
    <x v="4"/>
    <x v="23"/>
    <n v="3"/>
    <n v="11750"/>
    <n v="10"/>
    <x v="383"/>
    <n v="25339.45"/>
    <n v="6385.55"/>
    <x v="0"/>
  </r>
  <r>
    <s v="ORD00446"/>
    <x v="182"/>
    <s v="CUST0107"/>
    <x v="1"/>
    <x v="3"/>
    <x v="4"/>
    <n v="3"/>
    <n v="5000"/>
    <n v="15"/>
    <x v="343"/>
    <n v="9018.81"/>
    <n v="3731.19"/>
    <x v="2"/>
  </r>
  <r>
    <s v="ORD00447"/>
    <x v="71"/>
    <s v="CUST0015"/>
    <x v="9"/>
    <x v="1"/>
    <x v="1"/>
    <n v="5"/>
    <n v="650"/>
    <n v="0"/>
    <x v="384"/>
    <n v="2121.71"/>
    <n v="1128.29"/>
    <x v="2"/>
  </r>
  <r>
    <s v="ORD00448"/>
    <x v="95"/>
    <s v="CUST0053"/>
    <x v="1"/>
    <x v="4"/>
    <x v="21"/>
    <n v="3"/>
    <n v="2900"/>
    <n v="0"/>
    <x v="385"/>
    <n v="6407.21"/>
    <n v="2292.79"/>
    <x v="3"/>
  </r>
  <r>
    <s v="ORD00449"/>
    <x v="136"/>
    <s v="CUST0144"/>
    <x v="2"/>
    <x v="3"/>
    <x v="10"/>
    <n v="1"/>
    <n v="5450"/>
    <n v="20"/>
    <x v="386"/>
    <n v="3416.09"/>
    <n v="943.91"/>
    <x v="1"/>
  </r>
  <r>
    <s v="ORD00450"/>
    <x v="91"/>
    <s v="CUST0081"/>
    <x v="1"/>
    <x v="2"/>
    <x v="5"/>
    <n v="1"/>
    <n v="950"/>
    <n v="15"/>
    <x v="325"/>
    <n v="534.95000000000005"/>
    <n v="272.55"/>
    <x v="3"/>
  </r>
  <r>
    <s v="ORD00451"/>
    <x v="119"/>
    <s v="CUST0095"/>
    <x v="5"/>
    <x v="0"/>
    <x v="11"/>
    <n v="2"/>
    <n v="59250"/>
    <n v="5"/>
    <x v="387"/>
    <n v="89621.11"/>
    <n v="22953.89"/>
    <x v="0"/>
  </r>
  <r>
    <s v="ORD00452"/>
    <x v="241"/>
    <s v="CUST0020"/>
    <x v="7"/>
    <x v="2"/>
    <x v="7"/>
    <n v="2"/>
    <n v="750"/>
    <n v="15"/>
    <x v="388"/>
    <n v="762.33"/>
    <n v="512.66999999999996"/>
    <x v="1"/>
  </r>
  <r>
    <s v="ORD00453"/>
    <x v="262"/>
    <s v="CUST0034"/>
    <x v="7"/>
    <x v="2"/>
    <x v="12"/>
    <n v="4"/>
    <n v="250"/>
    <n v="15"/>
    <x v="389"/>
    <n v="531.55999999999995"/>
    <n v="318.44"/>
    <x v="0"/>
  </r>
  <r>
    <s v="ORD00454"/>
    <x v="263"/>
    <s v="CUST0014"/>
    <x v="5"/>
    <x v="3"/>
    <x v="4"/>
    <n v="3"/>
    <n v="4200"/>
    <n v="5"/>
    <x v="390"/>
    <n v="6712.58"/>
    <n v="5257.42"/>
    <x v="2"/>
  </r>
  <r>
    <s v="ORD00455"/>
    <x v="264"/>
    <s v="CUST0135"/>
    <x v="9"/>
    <x v="1"/>
    <x v="17"/>
    <n v="5"/>
    <n v="1650"/>
    <n v="0"/>
    <x v="391"/>
    <n v="6283.93"/>
    <n v="1966.07"/>
    <x v="1"/>
  </r>
  <r>
    <s v="ORD00456"/>
    <x v="154"/>
    <s v="CUST0024"/>
    <x v="3"/>
    <x v="2"/>
    <x v="12"/>
    <n v="5"/>
    <n v="500"/>
    <n v="15"/>
    <x v="392"/>
    <n v="1480.34"/>
    <n v="644.66"/>
    <x v="1"/>
  </r>
  <r>
    <s v="ORD00457"/>
    <x v="265"/>
    <s v="CUST0136"/>
    <x v="6"/>
    <x v="4"/>
    <x v="21"/>
    <n v="3"/>
    <n v="6400"/>
    <n v="10"/>
    <x v="393"/>
    <n v="10523.18"/>
    <n v="6756.82"/>
    <x v="0"/>
  </r>
  <r>
    <s v="ORD00458"/>
    <x v="106"/>
    <s v="CUST0063"/>
    <x v="8"/>
    <x v="0"/>
    <x v="0"/>
    <n v="3"/>
    <n v="59600"/>
    <n v="5"/>
    <x v="394"/>
    <n v="134905.20000000001"/>
    <n v="34954.800000000003"/>
    <x v="2"/>
  </r>
  <r>
    <s v="ORD00459"/>
    <x v="266"/>
    <s v="CUST0133"/>
    <x v="3"/>
    <x v="1"/>
    <x v="1"/>
    <n v="4"/>
    <n v="1250"/>
    <n v="20"/>
    <x v="395"/>
    <n v="2981.89"/>
    <n v="1018.11"/>
    <x v="0"/>
  </r>
  <r>
    <s v="ORD00460"/>
    <x v="43"/>
    <s v="CUST0083"/>
    <x v="1"/>
    <x v="2"/>
    <x v="2"/>
    <n v="4"/>
    <n v="250"/>
    <n v="10"/>
    <x v="43"/>
    <n v="713.28"/>
    <n v="186.72"/>
    <x v="3"/>
  </r>
  <r>
    <s v="ORD00461"/>
    <x v="267"/>
    <s v="CUST0055"/>
    <x v="2"/>
    <x v="0"/>
    <x v="18"/>
    <n v="5"/>
    <n v="71100"/>
    <n v="0"/>
    <x v="396"/>
    <n v="255701.17"/>
    <n v="99798.83"/>
    <x v="3"/>
  </r>
  <r>
    <s v="ORD00462"/>
    <x v="110"/>
    <s v="CUST0007"/>
    <x v="6"/>
    <x v="4"/>
    <x v="23"/>
    <n v="4"/>
    <n v="11100"/>
    <n v="0"/>
    <x v="397"/>
    <n v="33373.730000000003"/>
    <n v="11026.27"/>
    <x v="2"/>
  </r>
  <r>
    <s v="ORD00463"/>
    <x v="268"/>
    <s v="CUST0019"/>
    <x v="5"/>
    <x v="0"/>
    <x v="0"/>
    <n v="1"/>
    <n v="8300"/>
    <n v="5"/>
    <x v="398"/>
    <n v="6027.59"/>
    <n v="1857.41"/>
    <x v="1"/>
  </r>
  <r>
    <s v="ORD00464"/>
    <x v="66"/>
    <s v="CUST0100"/>
    <x v="0"/>
    <x v="3"/>
    <x v="10"/>
    <n v="4"/>
    <n v="4100"/>
    <n v="15"/>
    <x v="399"/>
    <n v="9296.82"/>
    <n v="4643.18"/>
    <x v="0"/>
  </r>
  <r>
    <s v="ORD00465"/>
    <x v="168"/>
    <s v="CUST0028"/>
    <x v="4"/>
    <x v="0"/>
    <x v="24"/>
    <n v="1"/>
    <n v="7150"/>
    <n v="0"/>
    <x v="400"/>
    <n v="4623.04"/>
    <n v="2526.96"/>
    <x v="2"/>
  </r>
  <r>
    <s v="ORD00466"/>
    <x v="185"/>
    <s v="CUST0008"/>
    <x v="6"/>
    <x v="2"/>
    <x v="12"/>
    <n v="3"/>
    <n v="1700"/>
    <n v="15"/>
    <x v="239"/>
    <n v="2830.68"/>
    <n v="1504.32"/>
    <x v="1"/>
  </r>
  <r>
    <s v="ORD00467"/>
    <x v="194"/>
    <s v="CUST0076"/>
    <x v="7"/>
    <x v="2"/>
    <x v="7"/>
    <n v="2"/>
    <n v="1700"/>
    <n v="15"/>
    <x v="293"/>
    <n v="2211.2199999999998"/>
    <n v="678.78"/>
    <x v="2"/>
  </r>
  <r>
    <s v="ORD00468"/>
    <x v="269"/>
    <s v="CUST0147"/>
    <x v="5"/>
    <x v="3"/>
    <x v="4"/>
    <n v="5"/>
    <n v="4950"/>
    <n v="5"/>
    <x v="401"/>
    <n v="13714.22"/>
    <n v="9798.2800000000007"/>
    <x v="4"/>
  </r>
  <r>
    <s v="ORD00469"/>
    <x v="270"/>
    <s v="CUST0055"/>
    <x v="2"/>
    <x v="2"/>
    <x v="14"/>
    <n v="1"/>
    <n v="750"/>
    <n v="5"/>
    <x v="402"/>
    <n v="535.83000000000004"/>
    <n v="176.67"/>
    <x v="0"/>
  </r>
  <r>
    <s v="ORD00470"/>
    <x v="248"/>
    <s v="CUST0030"/>
    <x v="7"/>
    <x v="4"/>
    <x v="16"/>
    <n v="2"/>
    <n v="4100"/>
    <n v="20"/>
    <x v="403"/>
    <n v="5086.51"/>
    <n v="1473.49"/>
    <x v="0"/>
  </r>
  <r>
    <s v="ORD00471"/>
    <x v="271"/>
    <s v="CUST0065"/>
    <x v="0"/>
    <x v="0"/>
    <x v="24"/>
    <n v="4"/>
    <n v="73250"/>
    <n v="0"/>
    <x v="404"/>
    <n v="184143.53"/>
    <n v="108856.47"/>
    <x v="1"/>
  </r>
  <r>
    <s v="ORD00472"/>
    <x v="46"/>
    <s v="CUST0026"/>
    <x v="4"/>
    <x v="2"/>
    <x v="2"/>
    <n v="3"/>
    <n v="900"/>
    <n v="5"/>
    <x v="19"/>
    <n v="1875.66"/>
    <n v="689.34"/>
    <x v="0"/>
  </r>
  <r>
    <s v="ORD00473"/>
    <x v="214"/>
    <s v="CUST0079"/>
    <x v="5"/>
    <x v="0"/>
    <x v="18"/>
    <n v="3"/>
    <n v="64900"/>
    <n v="15"/>
    <x v="405"/>
    <n v="105693.95"/>
    <n v="59801.05"/>
    <x v="1"/>
  </r>
  <r>
    <s v="ORD00474"/>
    <x v="26"/>
    <s v="CUST0064"/>
    <x v="9"/>
    <x v="2"/>
    <x v="14"/>
    <n v="3"/>
    <n v="800"/>
    <n v="15"/>
    <x v="151"/>
    <n v="1214.8900000000001"/>
    <n v="825.11"/>
    <x v="4"/>
  </r>
  <r>
    <s v="ORD00475"/>
    <x v="128"/>
    <s v="CUST0115"/>
    <x v="3"/>
    <x v="3"/>
    <x v="19"/>
    <n v="2"/>
    <n v="5950"/>
    <n v="10"/>
    <x v="406"/>
    <n v="8429.08"/>
    <n v="2280.92"/>
    <x v="2"/>
  </r>
  <r>
    <s v="ORD00476"/>
    <x v="103"/>
    <s v="CUST0036"/>
    <x v="1"/>
    <x v="1"/>
    <x v="17"/>
    <n v="1"/>
    <n v="900"/>
    <n v="20"/>
    <x v="196"/>
    <n v="411.94"/>
    <n v="308.06"/>
    <x v="1"/>
  </r>
  <r>
    <s v="ORD00477"/>
    <x v="148"/>
    <s v="CUST0149"/>
    <x v="2"/>
    <x v="3"/>
    <x v="4"/>
    <n v="1"/>
    <n v="550"/>
    <n v="20"/>
    <x v="407"/>
    <n v="317.04000000000002"/>
    <n v="122.96"/>
    <x v="0"/>
  </r>
  <r>
    <s v="ORD00478"/>
    <x v="272"/>
    <s v="CUST0121"/>
    <x v="7"/>
    <x v="4"/>
    <x v="20"/>
    <n v="5"/>
    <n v="4750"/>
    <n v="20"/>
    <x v="408"/>
    <n v="15036.15"/>
    <n v="3963.85"/>
    <x v="2"/>
  </r>
  <r>
    <s v="ORD00479"/>
    <x v="155"/>
    <s v="CUST0131"/>
    <x v="0"/>
    <x v="1"/>
    <x v="15"/>
    <n v="5"/>
    <n v="3200"/>
    <n v="10"/>
    <x v="409"/>
    <n v="8440.5300000000007"/>
    <n v="5959.47"/>
    <x v="4"/>
  </r>
  <r>
    <s v="ORD00480"/>
    <x v="106"/>
    <s v="CUST0043"/>
    <x v="1"/>
    <x v="3"/>
    <x v="9"/>
    <n v="1"/>
    <n v="5850"/>
    <n v="5"/>
    <x v="410"/>
    <n v="4329.04"/>
    <n v="1228.46"/>
    <x v="1"/>
  </r>
  <r>
    <s v="ORD00481"/>
    <x v="104"/>
    <s v="CUST0124"/>
    <x v="3"/>
    <x v="1"/>
    <x v="15"/>
    <n v="2"/>
    <n v="2500"/>
    <n v="20"/>
    <x v="395"/>
    <n v="2912.17"/>
    <n v="1087.83"/>
    <x v="3"/>
  </r>
  <r>
    <s v="ORD00482"/>
    <x v="139"/>
    <s v="CUST0053"/>
    <x v="1"/>
    <x v="4"/>
    <x v="8"/>
    <n v="2"/>
    <n v="1550"/>
    <n v="10"/>
    <x v="411"/>
    <n v="1812.8"/>
    <n v="977.2"/>
    <x v="2"/>
  </r>
  <r>
    <s v="ORD00483"/>
    <x v="263"/>
    <s v="CUST0027"/>
    <x v="1"/>
    <x v="1"/>
    <x v="22"/>
    <n v="4"/>
    <n v="400"/>
    <n v="0"/>
    <x v="24"/>
    <n v="1303.6099999999999"/>
    <n v="296.39"/>
    <x v="2"/>
  </r>
  <r>
    <s v="ORD00484"/>
    <x v="4"/>
    <s v="CUST0094"/>
    <x v="5"/>
    <x v="3"/>
    <x v="9"/>
    <n v="5"/>
    <n v="5050"/>
    <n v="5"/>
    <x v="412"/>
    <n v="15632.61"/>
    <n v="8354.89"/>
    <x v="3"/>
  </r>
  <r>
    <s v="ORD00485"/>
    <x v="270"/>
    <s v="CUST0125"/>
    <x v="6"/>
    <x v="2"/>
    <x v="5"/>
    <n v="4"/>
    <n v="600"/>
    <n v="20"/>
    <x v="259"/>
    <n v="1266.3900000000001"/>
    <n v="653.61"/>
    <x v="0"/>
  </r>
  <r>
    <s v="ORD00486"/>
    <x v="151"/>
    <s v="CUST0072"/>
    <x v="9"/>
    <x v="0"/>
    <x v="24"/>
    <n v="2"/>
    <n v="58850"/>
    <n v="5"/>
    <x v="413"/>
    <n v="68441.679999999993"/>
    <n v="43373.32"/>
    <x v="1"/>
  </r>
  <r>
    <s v="ORD00487"/>
    <x v="86"/>
    <s v="CUST0085"/>
    <x v="0"/>
    <x v="4"/>
    <x v="16"/>
    <n v="3"/>
    <n v="10350"/>
    <n v="0"/>
    <x v="414"/>
    <n v="22619.91"/>
    <n v="8430.09"/>
    <x v="4"/>
  </r>
  <r>
    <s v="ORD00488"/>
    <x v="37"/>
    <s v="CUST0006"/>
    <x v="9"/>
    <x v="1"/>
    <x v="22"/>
    <n v="2"/>
    <n v="2600"/>
    <n v="5"/>
    <x v="415"/>
    <n v="3580.31"/>
    <n v="1359.69"/>
    <x v="3"/>
  </r>
  <r>
    <s v="ORD00489"/>
    <x v="273"/>
    <s v="CUST0147"/>
    <x v="7"/>
    <x v="4"/>
    <x v="23"/>
    <n v="5"/>
    <n v="3150"/>
    <n v="5"/>
    <x v="416"/>
    <n v="10772.64"/>
    <n v="4189.8599999999997"/>
    <x v="3"/>
  </r>
  <r>
    <s v="ORD00490"/>
    <x v="122"/>
    <s v="CUST0005"/>
    <x v="4"/>
    <x v="4"/>
    <x v="21"/>
    <n v="2"/>
    <n v="8950"/>
    <n v="15"/>
    <x v="417"/>
    <n v="10830.44"/>
    <n v="4384.5600000000004"/>
    <x v="3"/>
  </r>
  <r>
    <s v="ORD00491"/>
    <x v="37"/>
    <s v="CUST0037"/>
    <x v="5"/>
    <x v="4"/>
    <x v="8"/>
    <n v="5"/>
    <n v="8200"/>
    <n v="15"/>
    <x v="418"/>
    <n v="20772.45"/>
    <n v="14077.55"/>
    <x v="1"/>
  </r>
  <r>
    <s v="ORD00492"/>
    <x v="169"/>
    <s v="CUST0018"/>
    <x v="9"/>
    <x v="2"/>
    <x v="14"/>
    <n v="3"/>
    <n v="500"/>
    <n v="10"/>
    <x v="419"/>
    <n v="1078.7"/>
    <n v="271.3"/>
    <x v="4"/>
  </r>
  <r>
    <s v="ORD00493"/>
    <x v="49"/>
    <s v="CUST0108"/>
    <x v="7"/>
    <x v="1"/>
    <x v="15"/>
    <n v="1"/>
    <n v="250"/>
    <n v="5"/>
    <x v="420"/>
    <n v="164.14"/>
    <n v="73.36"/>
    <x v="0"/>
  </r>
  <r>
    <s v="ORD00494"/>
    <x v="179"/>
    <s v="CUST0024"/>
    <x v="6"/>
    <x v="0"/>
    <x v="18"/>
    <n v="4"/>
    <n v="6300"/>
    <n v="20"/>
    <x v="421"/>
    <n v="13827.72"/>
    <n v="6332.28"/>
    <x v="1"/>
  </r>
  <r>
    <s v="ORD00495"/>
    <x v="236"/>
    <s v="CUST0012"/>
    <x v="1"/>
    <x v="2"/>
    <x v="14"/>
    <n v="1"/>
    <n v="1750"/>
    <n v="15"/>
    <x v="422"/>
    <n v="1027.79"/>
    <n v="459.71"/>
    <x v="4"/>
  </r>
  <r>
    <s v="ORD00496"/>
    <x v="162"/>
    <s v="CUST0148"/>
    <x v="0"/>
    <x v="4"/>
    <x v="8"/>
    <n v="4"/>
    <n v="6250"/>
    <n v="20"/>
    <x v="226"/>
    <n v="15344.95"/>
    <n v="4655.05"/>
    <x v="4"/>
  </r>
  <r>
    <s v="ORD00497"/>
    <x v="76"/>
    <s v="CUST0105"/>
    <x v="4"/>
    <x v="4"/>
    <x v="21"/>
    <n v="4"/>
    <n v="4300"/>
    <n v="0"/>
    <x v="423"/>
    <n v="10775.49"/>
    <n v="6424.51"/>
    <x v="1"/>
  </r>
  <r>
    <s v="ORD00498"/>
    <x v="274"/>
    <s v="CUST0053"/>
    <x v="3"/>
    <x v="0"/>
    <x v="0"/>
    <n v="5"/>
    <n v="69700"/>
    <n v="0"/>
    <x v="424"/>
    <n v="240581.99"/>
    <n v="107918.01"/>
    <x v="4"/>
  </r>
  <r>
    <s v="ORD00499"/>
    <x v="12"/>
    <s v="CUST0109"/>
    <x v="5"/>
    <x v="3"/>
    <x v="4"/>
    <n v="2"/>
    <n v="3900"/>
    <n v="20"/>
    <x v="425"/>
    <n v="3859.32"/>
    <n v="2380.6799999999998"/>
    <x v="2"/>
  </r>
  <r>
    <s v="ORD00500"/>
    <x v="268"/>
    <s v="CUST0124"/>
    <x v="7"/>
    <x v="2"/>
    <x v="5"/>
    <n v="4"/>
    <n v="1700"/>
    <n v="5"/>
    <x v="426"/>
    <n v="4273.75"/>
    <n v="2186.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2707F-FE75-402C-B4F8-331CA2CCD9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5">
    <pivotField showAll="0"/>
    <pivotField numFmtId="164" showAll="0">
      <items count="276">
        <item x="83"/>
        <item x="171"/>
        <item x="269"/>
        <item x="2"/>
        <item x="164"/>
        <item x="167"/>
        <item x="188"/>
        <item x="66"/>
        <item x="253"/>
        <item x="266"/>
        <item x="129"/>
        <item x="92"/>
        <item x="218"/>
        <item x="206"/>
        <item x="233"/>
        <item x="101"/>
        <item x="273"/>
        <item x="139"/>
        <item x="117"/>
        <item x="70"/>
        <item x="71"/>
        <item x="176"/>
        <item x="150"/>
        <item x="123"/>
        <item x="52"/>
        <item x="8"/>
        <item x="271"/>
        <item x="39"/>
        <item x="30"/>
        <item x="224"/>
        <item x="120"/>
        <item x="161"/>
        <item x="27"/>
        <item x="138"/>
        <item x="65"/>
        <item x="146"/>
        <item x="239"/>
        <item x="85"/>
        <item x="3"/>
        <item x="195"/>
        <item x="0"/>
        <item x="60"/>
        <item x="157"/>
        <item x="174"/>
        <item x="198"/>
        <item x="235"/>
        <item x="179"/>
        <item x="222"/>
        <item x="48"/>
        <item x="69"/>
        <item x="31"/>
        <item x="165"/>
        <item x="230"/>
        <item x="10"/>
        <item x="9"/>
        <item x="229"/>
        <item x="132"/>
        <item x="104"/>
        <item x="110"/>
        <item x="226"/>
        <item x="14"/>
        <item x="240"/>
        <item x="98"/>
        <item x="189"/>
        <item x="245"/>
        <item x="74"/>
        <item x="134"/>
        <item x="68"/>
        <item x="246"/>
        <item x="166"/>
        <item x="21"/>
        <item x="43"/>
        <item x="248"/>
        <item x="191"/>
        <item x="135"/>
        <item x="29"/>
        <item x="267"/>
        <item x="17"/>
        <item x="45"/>
        <item x="59"/>
        <item x="225"/>
        <item x="223"/>
        <item x="252"/>
        <item x="18"/>
        <item x="5"/>
        <item x="181"/>
        <item x="46"/>
        <item x="105"/>
        <item x="201"/>
        <item x="152"/>
        <item x="193"/>
        <item x="58"/>
        <item x="142"/>
        <item x="34"/>
        <item x="118"/>
        <item x="40"/>
        <item x="13"/>
        <item x="262"/>
        <item x="208"/>
        <item x="237"/>
        <item x="187"/>
        <item x="113"/>
        <item x="183"/>
        <item x="50"/>
        <item x="103"/>
        <item x="210"/>
        <item x="96"/>
        <item x="75"/>
        <item x="261"/>
        <item x="95"/>
        <item x="88"/>
        <item x="144"/>
        <item x="44"/>
        <item x="242"/>
        <item x="15"/>
        <item x="115"/>
        <item x="26"/>
        <item x="213"/>
        <item x="264"/>
        <item x="51"/>
        <item x="81"/>
        <item x="263"/>
        <item x="121"/>
        <item x="56"/>
        <item x="192"/>
        <item x="228"/>
        <item x="251"/>
        <item x="124"/>
        <item x="270"/>
        <item x="217"/>
        <item x="197"/>
        <item x="232"/>
        <item x="200"/>
        <item x="6"/>
        <item x="255"/>
        <item x="62"/>
        <item x="219"/>
        <item x="205"/>
        <item x="99"/>
        <item x="236"/>
        <item x="141"/>
        <item x="196"/>
        <item x="274"/>
        <item x="4"/>
        <item x="7"/>
        <item x="172"/>
        <item x="203"/>
        <item x="11"/>
        <item x="177"/>
        <item x="53"/>
        <item x="257"/>
        <item x="216"/>
        <item x="137"/>
        <item x="24"/>
        <item x="154"/>
        <item x="184"/>
        <item x="36"/>
        <item x="234"/>
        <item x="37"/>
        <item x="86"/>
        <item x="54"/>
        <item x="190"/>
        <item x="111"/>
        <item x="61"/>
        <item x="108"/>
        <item x="259"/>
        <item x="41"/>
        <item x="78"/>
        <item x="80"/>
        <item x="175"/>
        <item x="127"/>
        <item x="258"/>
        <item x="143"/>
        <item x="109"/>
        <item x="94"/>
        <item x="204"/>
        <item x="38"/>
        <item x="128"/>
        <item x="64"/>
        <item x="63"/>
        <item x="57"/>
        <item x="215"/>
        <item x="238"/>
        <item x="250"/>
        <item x="67"/>
        <item x="20"/>
        <item x="249"/>
        <item x="227"/>
        <item x="145"/>
        <item x="93"/>
        <item x="155"/>
        <item x="168"/>
        <item x="49"/>
        <item x="156"/>
        <item x="87"/>
        <item x="116"/>
        <item x="151"/>
        <item x="220"/>
        <item x="243"/>
        <item x="125"/>
        <item x="163"/>
        <item x="16"/>
        <item x="12"/>
        <item x="173"/>
        <item x="272"/>
        <item x="180"/>
        <item x="76"/>
        <item x="194"/>
        <item x="130"/>
        <item x="82"/>
        <item x="147"/>
        <item x="33"/>
        <item x="25"/>
        <item x="268"/>
        <item x="199"/>
        <item x="100"/>
        <item x="122"/>
        <item x="231"/>
        <item x="77"/>
        <item x="160"/>
        <item x="202"/>
        <item x="148"/>
        <item x="244"/>
        <item x="247"/>
        <item x="178"/>
        <item x="207"/>
        <item x="89"/>
        <item x="55"/>
        <item x="28"/>
        <item x="169"/>
        <item x="260"/>
        <item x="1"/>
        <item x="256"/>
        <item x="72"/>
        <item x="254"/>
        <item x="32"/>
        <item x="106"/>
        <item x="212"/>
        <item x="265"/>
        <item x="73"/>
        <item x="107"/>
        <item x="84"/>
        <item x="97"/>
        <item x="114"/>
        <item x="221"/>
        <item x="131"/>
        <item x="149"/>
        <item x="22"/>
        <item x="136"/>
        <item x="211"/>
        <item x="23"/>
        <item x="153"/>
        <item x="90"/>
        <item x="112"/>
        <item x="214"/>
        <item x="185"/>
        <item x="42"/>
        <item x="182"/>
        <item x="133"/>
        <item x="102"/>
        <item x="79"/>
        <item x="159"/>
        <item x="140"/>
        <item x="170"/>
        <item x="241"/>
        <item x="91"/>
        <item x="47"/>
        <item x="35"/>
        <item x="126"/>
        <item x="162"/>
        <item x="209"/>
        <item x="158"/>
        <item x="119"/>
        <item x="19"/>
        <item x="186"/>
        <item t="default"/>
      </items>
    </pivotField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24FD9-52A7-4C91-B336-2DB57C2A642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4" firstHeaderRow="1" firstDataRow="1" firstDataCol="1"/>
  <pivotFields count="15">
    <pivotField showAll="0"/>
    <pivotField numFmtId="164" showAll="0">
      <items count="276">
        <item x="83"/>
        <item x="171"/>
        <item x="269"/>
        <item x="2"/>
        <item x="164"/>
        <item x="167"/>
        <item x="188"/>
        <item x="66"/>
        <item x="253"/>
        <item x="266"/>
        <item x="129"/>
        <item x="92"/>
        <item x="218"/>
        <item x="206"/>
        <item x="233"/>
        <item x="101"/>
        <item x="273"/>
        <item x="139"/>
        <item x="117"/>
        <item x="70"/>
        <item x="71"/>
        <item x="176"/>
        <item x="150"/>
        <item x="123"/>
        <item x="52"/>
        <item x="8"/>
        <item x="271"/>
        <item x="39"/>
        <item x="30"/>
        <item x="224"/>
        <item x="120"/>
        <item x="161"/>
        <item x="27"/>
        <item x="138"/>
        <item x="65"/>
        <item x="146"/>
        <item x="239"/>
        <item x="85"/>
        <item x="3"/>
        <item x="195"/>
        <item x="0"/>
        <item x="60"/>
        <item x="157"/>
        <item x="174"/>
        <item x="198"/>
        <item x="235"/>
        <item x="179"/>
        <item x="222"/>
        <item x="48"/>
        <item x="69"/>
        <item x="31"/>
        <item x="165"/>
        <item x="230"/>
        <item x="10"/>
        <item x="9"/>
        <item x="229"/>
        <item x="132"/>
        <item x="104"/>
        <item x="110"/>
        <item x="226"/>
        <item x="14"/>
        <item x="240"/>
        <item x="98"/>
        <item x="189"/>
        <item x="245"/>
        <item x="74"/>
        <item x="134"/>
        <item x="68"/>
        <item x="246"/>
        <item x="166"/>
        <item x="21"/>
        <item x="43"/>
        <item x="248"/>
        <item x="191"/>
        <item x="135"/>
        <item x="29"/>
        <item x="267"/>
        <item x="17"/>
        <item x="45"/>
        <item x="59"/>
        <item x="225"/>
        <item x="223"/>
        <item x="252"/>
        <item x="18"/>
        <item x="5"/>
        <item x="181"/>
        <item x="46"/>
        <item x="105"/>
        <item x="201"/>
        <item x="152"/>
        <item x="193"/>
        <item x="58"/>
        <item x="142"/>
        <item x="34"/>
        <item x="118"/>
        <item x="40"/>
        <item x="13"/>
        <item x="262"/>
        <item x="208"/>
        <item x="237"/>
        <item x="187"/>
        <item x="113"/>
        <item x="183"/>
        <item x="50"/>
        <item x="103"/>
        <item x="210"/>
        <item x="96"/>
        <item x="75"/>
        <item x="261"/>
        <item x="95"/>
        <item x="88"/>
        <item x="144"/>
        <item x="44"/>
        <item x="242"/>
        <item x="15"/>
        <item x="115"/>
        <item x="26"/>
        <item x="213"/>
        <item x="264"/>
        <item x="51"/>
        <item x="81"/>
        <item x="263"/>
        <item x="121"/>
        <item x="56"/>
        <item x="192"/>
        <item x="228"/>
        <item x="251"/>
        <item x="124"/>
        <item x="270"/>
        <item x="217"/>
        <item x="197"/>
        <item x="232"/>
        <item x="200"/>
        <item x="6"/>
        <item x="255"/>
        <item x="62"/>
        <item x="219"/>
        <item x="205"/>
        <item x="99"/>
        <item x="236"/>
        <item x="141"/>
        <item x="196"/>
        <item x="274"/>
        <item x="4"/>
        <item x="7"/>
        <item x="172"/>
        <item x="203"/>
        <item x="11"/>
        <item x="177"/>
        <item x="53"/>
        <item x="257"/>
        <item x="216"/>
        <item x="137"/>
        <item x="24"/>
        <item x="154"/>
        <item x="184"/>
        <item x="36"/>
        <item x="234"/>
        <item x="37"/>
        <item x="86"/>
        <item x="54"/>
        <item x="190"/>
        <item x="111"/>
        <item x="61"/>
        <item x="108"/>
        <item x="259"/>
        <item x="41"/>
        <item x="78"/>
        <item x="80"/>
        <item x="175"/>
        <item x="127"/>
        <item x="258"/>
        <item x="143"/>
        <item x="109"/>
        <item x="94"/>
        <item x="204"/>
        <item x="38"/>
        <item x="128"/>
        <item x="64"/>
        <item x="63"/>
        <item x="57"/>
        <item x="215"/>
        <item x="238"/>
        <item x="250"/>
        <item x="67"/>
        <item x="20"/>
        <item x="249"/>
        <item x="227"/>
        <item x="145"/>
        <item x="93"/>
        <item x="155"/>
        <item x="168"/>
        <item x="49"/>
        <item x="156"/>
        <item x="87"/>
        <item x="116"/>
        <item x="151"/>
        <item x="220"/>
        <item x="243"/>
        <item x="125"/>
        <item x="163"/>
        <item x="16"/>
        <item x="12"/>
        <item x="173"/>
        <item x="272"/>
        <item x="180"/>
        <item x="76"/>
        <item x="194"/>
        <item x="130"/>
        <item x="82"/>
        <item x="147"/>
        <item x="33"/>
        <item x="25"/>
        <item x="268"/>
        <item x="199"/>
        <item x="100"/>
        <item x="122"/>
        <item x="231"/>
        <item x="77"/>
        <item x="160"/>
        <item x="202"/>
        <item x="148"/>
        <item x="244"/>
        <item x="247"/>
        <item x="178"/>
        <item x="207"/>
        <item x="89"/>
        <item x="55"/>
        <item x="28"/>
        <item x="169"/>
        <item x="260"/>
        <item x="1"/>
        <item x="256"/>
        <item x="72"/>
        <item x="254"/>
        <item x="32"/>
        <item x="106"/>
        <item x="212"/>
        <item x="265"/>
        <item x="73"/>
        <item x="107"/>
        <item x="84"/>
        <item x="97"/>
        <item x="114"/>
        <item x="221"/>
        <item x="131"/>
        <item x="149"/>
        <item x="22"/>
        <item x="136"/>
        <item x="211"/>
        <item x="23"/>
        <item x="153"/>
        <item x="90"/>
        <item x="112"/>
        <item x="214"/>
        <item x="185"/>
        <item x="42"/>
        <item x="182"/>
        <item x="133"/>
        <item x="102"/>
        <item x="79"/>
        <item x="159"/>
        <item x="140"/>
        <item x="170"/>
        <item x="241"/>
        <item x="91"/>
        <item x="47"/>
        <item x="35"/>
        <item x="126"/>
        <item x="162"/>
        <item x="209"/>
        <item x="158"/>
        <item x="119"/>
        <item x="19"/>
        <item x="186"/>
        <item t="default"/>
      </items>
    </pivotField>
    <pivotField showAll="0"/>
    <pivotField axis="axisRow" showAll="0">
      <items count="11">
        <item x="7"/>
        <item x="4"/>
        <item x="8"/>
        <item x="5"/>
        <item x="9"/>
        <item x="6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3CA2A-EE57-4CC1-8F90-BD906FA5757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9" firstHeaderRow="1" firstDataRow="1" firstDataCol="1"/>
  <pivotFields count="15">
    <pivotField showAll="0"/>
    <pivotField numFmtId="164" showAll="0">
      <items count="276">
        <item x="83"/>
        <item x="171"/>
        <item x="269"/>
        <item x="2"/>
        <item x="164"/>
        <item x="167"/>
        <item x="188"/>
        <item x="66"/>
        <item x="253"/>
        <item x="266"/>
        <item x="129"/>
        <item x="92"/>
        <item x="218"/>
        <item x="206"/>
        <item x="233"/>
        <item x="101"/>
        <item x="273"/>
        <item x="139"/>
        <item x="117"/>
        <item x="70"/>
        <item x="71"/>
        <item x="176"/>
        <item x="150"/>
        <item x="123"/>
        <item x="52"/>
        <item x="8"/>
        <item x="271"/>
        <item x="39"/>
        <item x="30"/>
        <item x="224"/>
        <item x="120"/>
        <item x="161"/>
        <item x="27"/>
        <item x="138"/>
        <item x="65"/>
        <item x="146"/>
        <item x="239"/>
        <item x="85"/>
        <item x="3"/>
        <item x="195"/>
        <item x="0"/>
        <item x="60"/>
        <item x="157"/>
        <item x="174"/>
        <item x="198"/>
        <item x="235"/>
        <item x="179"/>
        <item x="222"/>
        <item x="48"/>
        <item x="69"/>
        <item x="31"/>
        <item x="165"/>
        <item x="230"/>
        <item x="10"/>
        <item x="9"/>
        <item x="229"/>
        <item x="132"/>
        <item x="104"/>
        <item x="110"/>
        <item x="226"/>
        <item x="14"/>
        <item x="240"/>
        <item x="98"/>
        <item x="189"/>
        <item x="245"/>
        <item x="74"/>
        <item x="134"/>
        <item x="68"/>
        <item x="246"/>
        <item x="166"/>
        <item x="21"/>
        <item x="43"/>
        <item x="248"/>
        <item x="191"/>
        <item x="135"/>
        <item x="29"/>
        <item x="267"/>
        <item x="17"/>
        <item x="45"/>
        <item x="59"/>
        <item x="225"/>
        <item x="223"/>
        <item x="252"/>
        <item x="18"/>
        <item x="5"/>
        <item x="181"/>
        <item x="46"/>
        <item x="105"/>
        <item x="201"/>
        <item x="152"/>
        <item x="193"/>
        <item x="58"/>
        <item x="142"/>
        <item x="34"/>
        <item x="118"/>
        <item x="40"/>
        <item x="13"/>
        <item x="262"/>
        <item x="208"/>
        <item x="237"/>
        <item x="187"/>
        <item x="113"/>
        <item x="183"/>
        <item x="50"/>
        <item x="103"/>
        <item x="210"/>
        <item x="96"/>
        <item x="75"/>
        <item x="261"/>
        <item x="95"/>
        <item x="88"/>
        <item x="144"/>
        <item x="44"/>
        <item x="242"/>
        <item x="15"/>
        <item x="115"/>
        <item x="26"/>
        <item x="213"/>
        <item x="264"/>
        <item x="51"/>
        <item x="81"/>
        <item x="263"/>
        <item x="121"/>
        <item x="56"/>
        <item x="192"/>
        <item x="228"/>
        <item x="251"/>
        <item x="124"/>
        <item x="270"/>
        <item x="217"/>
        <item x="197"/>
        <item x="232"/>
        <item x="200"/>
        <item x="6"/>
        <item x="255"/>
        <item x="62"/>
        <item x="219"/>
        <item x="205"/>
        <item x="99"/>
        <item x="236"/>
        <item x="141"/>
        <item x="196"/>
        <item x="274"/>
        <item x="4"/>
        <item x="7"/>
        <item x="172"/>
        <item x="203"/>
        <item x="11"/>
        <item x="177"/>
        <item x="53"/>
        <item x="257"/>
        <item x="216"/>
        <item x="137"/>
        <item x="24"/>
        <item x="154"/>
        <item x="184"/>
        <item x="36"/>
        <item x="234"/>
        <item x="37"/>
        <item x="86"/>
        <item x="54"/>
        <item x="190"/>
        <item x="111"/>
        <item x="61"/>
        <item x="108"/>
        <item x="259"/>
        <item x="41"/>
        <item x="78"/>
        <item x="80"/>
        <item x="175"/>
        <item x="127"/>
        <item x="258"/>
        <item x="143"/>
        <item x="109"/>
        <item x="94"/>
        <item x="204"/>
        <item x="38"/>
        <item x="128"/>
        <item x="64"/>
        <item x="63"/>
        <item x="57"/>
        <item x="215"/>
        <item x="238"/>
        <item x="250"/>
        <item x="67"/>
        <item x="20"/>
        <item x="249"/>
        <item x="227"/>
        <item x="145"/>
        <item x="93"/>
        <item x="155"/>
        <item x="168"/>
        <item x="49"/>
        <item x="156"/>
        <item x="87"/>
        <item x="116"/>
        <item x="151"/>
        <item x="220"/>
        <item x="243"/>
        <item x="125"/>
        <item x="163"/>
        <item x="16"/>
        <item x="12"/>
        <item x="173"/>
        <item x="272"/>
        <item x="180"/>
        <item x="76"/>
        <item x="194"/>
        <item x="130"/>
        <item x="82"/>
        <item x="147"/>
        <item x="33"/>
        <item x="25"/>
        <item x="268"/>
        <item x="199"/>
        <item x="100"/>
        <item x="122"/>
        <item x="231"/>
        <item x="77"/>
        <item x="160"/>
        <item x="202"/>
        <item x="148"/>
        <item x="244"/>
        <item x="247"/>
        <item x="178"/>
        <item x="207"/>
        <item x="89"/>
        <item x="55"/>
        <item x="28"/>
        <item x="169"/>
        <item x="260"/>
        <item x="1"/>
        <item x="256"/>
        <item x="72"/>
        <item x="254"/>
        <item x="32"/>
        <item x="106"/>
        <item x="212"/>
        <item x="265"/>
        <item x="73"/>
        <item x="107"/>
        <item x="84"/>
        <item x="97"/>
        <item x="114"/>
        <item x="221"/>
        <item x="131"/>
        <item x="149"/>
        <item x="22"/>
        <item x="136"/>
        <item x="211"/>
        <item x="23"/>
        <item x="153"/>
        <item x="90"/>
        <item x="112"/>
        <item x="214"/>
        <item x="185"/>
        <item x="42"/>
        <item x="182"/>
        <item x="133"/>
        <item x="102"/>
        <item x="79"/>
        <item x="159"/>
        <item x="140"/>
        <item x="170"/>
        <item x="241"/>
        <item x="91"/>
        <item x="47"/>
        <item x="35"/>
        <item x="126"/>
        <item x="162"/>
        <item x="209"/>
        <item x="158"/>
        <item x="119"/>
        <item x="19"/>
        <item x="186"/>
        <item t="default"/>
      </items>
    </pivotField>
    <pivotField showAll="0"/>
    <pivotField showAll="0"/>
    <pivotField showAll="0"/>
    <pivotField axis="axisRow" showAll="0">
      <items count="26">
        <item x="16"/>
        <item x="2"/>
        <item x="23"/>
        <item x="21"/>
        <item x="14"/>
        <item x="1"/>
        <item x="9"/>
        <item x="11"/>
        <item x="10"/>
        <item x="3"/>
        <item x="0"/>
        <item x="20"/>
        <item x="15"/>
        <item x="12"/>
        <item x="22"/>
        <item x="7"/>
        <item x="13"/>
        <item x="18"/>
        <item x="6"/>
        <item x="19"/>
        <item x="17"/>
        <item x="24"/>
        <item x="5"/>
        <item x="4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99165-A2DB-4867-83CC-76FD4B4890A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5">
    <pivotField showAll="0"/>
    <pivotField axis="axisRow" numFmtId="164" showAll="0">
      <items count="276">
        <item x="83"/>
        <item x="171"/>
        <item x="269"/>
        <item x="2"/>
        <item x="164"/>
        <item x="167"/>
        <item x="188"/>
        <item x="66"/>
        <item x="253"/>
        <item x="266"/>
        <item x="129"/>
        <item x="92"/>
        <item x="218"/>
        <item x="206"/>
        <item x="233"/>
        <item x="101"/>
        <item x="273"/>
        <item x="139"/>
        <item x="117"/>
        <item x="70"/>
        <item x="71"/>
        <item x="176"/>
        <item x="150"/>
        <item x="123"/>
        <item x="52"/>
        <item x="8"/>
        <item x="271"/>
        <item x="39"/>
        <item x="30"/>
        <item x="224"/>
        <item x="120"/>
        <item x="161"/>
        <item x="27"/>
        <item x="138"/>
        <item x="65"/>
        <item x="146"/>
        <item x="239"/>
        <item x="85"/>
        <item x="3"/>
        <item x="195"/>
        <item x="0"/>
        <item x="60"/>
        <item x="157"/>
        <item x="174"/>
        <item x="198"/>
        <item x="235"/>
        <item x="179"/>
        <item x="222"/>
        <item x="48"/>
        <item x="69"/>
        <item x="31"/>
        <item x="165"/>
        <item x="230"/>
        <item x="10"/>
        <item x="9"/>
        <item x="229"/>
        <item x="132"/>
        <item x="104"/>
        <item x="110"/>
        <item x="226"/>
        <item x="14"/>
        <item x="240"/>
        <item x="98"/>
        <item x="189"/>
        <item x="245"/>
        <item x="74"/>
        <item x="134"/>
        <item x="68"/>
        <item x="246"/>
        <item x="166"/>
        <item x="21"/>
        <item x="43"/>
        <item x="248"/>
        <item x="191"/>
        <item x="135"/>
        <item x="29"/>
        <item x="267"/>
        <item x="17"/>
        <item x="45"/>
        <item x="59"/>
        <item x="225"/>
        <item x="223"/>
        <item x="252"/>
        <item x="18"/>
        <item x="5"/>
        <item x="181"/>
        <item x="46"/>
        <item x="105"/>
        <item x="201"/>
        <item x="152"/>
        <item x="193"/>
        <item x="58"/>
        <item x="142"/>
        <item x="34"/>
        <item x="118"/>
        <item x="40"/>
        <item x="13"/>
        <item x="262"/>
        <item x="208"/>
        <item x="237"/>
        <item x="187"/>
        <item x="113"/>
        <item x="183"/>
        <item x="50"/>
        <item x="103"/>
        <item x="210"/>
        <item x="96"/>
        <item x="75"/>
        <item x="261"/>
        <item x="95"/>
        <item x="88"/>
        <item x="144"/>
        <item x="44"/>
        <item x="242"/>
        <item x="15"/>
        <item x="115"/>
        <item x="26"/>
        <item x="213"/>
        <item x="264"/>
        <item x="51"/>
        <item x="81"/>
        <item x="263"/>
        <item x="121"/>
        <item x="56"/>
        <item x="192"/>
        <item x="228"/>
        <item x="251"/>
        <item x="124"/>
        <item x="270"/>
        <item x="217"/>
        <item x="197"/>
        <item x="232"/>
        <item x="200"/>
        <item x="6"/>
        <item x="255"/>
        <item x="62"/>
        <item x="219"/>
        <item x="205"/>
        <item x="99"/>
        <item x="236"/>
        <item x="141"/>
        <item x="196"/>
        <item x="274"/>
        <item x="4"/>
        <item x="7"/>
        <item x="172"/>
        <item x="203"/>
        <item x="11"/>
        <item x="177"/>
        <item x="53"/>
        <item x="257"/>
        <item x="216"/>
        <item x="137"/>
        <item x="24"/>
        <item x="154"/>
        <item x="184"/>
        <item x="36"/>
        <item x="234"/>
        <item x="37"/>
        <item x="86"/>
        <item x="54"/>
        <item x="190"/>
        <item x="111"/>
        <item x="61"/>
        <item x="108"/>
        <item x="259"/>
        <item x="41"/>
        <item x="78"/>
        <item x="80"/>
        <item x="175"/>
        <item x="127"/>
        <item x="258"/>
        <item x="143"/>
        <item x="109"/>
        <item x="94"/>
        <item x="204"/>
        <item x="38"/>
        <item x="128"/>
        <item x="64"/>
        <item x="63"/>
        <item x="57"/>
        <item x="215"/>
        <item x="238"/>
        <item x="250"/>
        <item x="67"/>
        <item x="20"/>
        <item x="249"/>
        <item x="227"/>
        <item x="145"/>
        <item x="93"/>
        <item x="155"/>
        <item x="168"/>
        <item x="49"/>
        <item x="156"/>
        <item x="87"/>
        <item x="116"/>
        <item x="151"/>
        <item x="220"/>
        <item x="243"/>
        <item x="125"/>
        <item x="163"/>
        <item x="16"/>
        <item x="12"/>
        <item x="173"/>
        <item x="272"/>
        <item x="180"/>
        <item x="76"/>
        <item x="194"/>
        <item x="130"/>
        <item x="82"/>
        <item x="147"/>
        <item x="33"/>
        <item x="25"/>
        <item x="268"/>
        <item x="199"/>
        <item x="100"/>
        <item x="122"/>
        <item x="231"/>
        <item x="77"/>
        <item x="160"/>
        <item x="202"/>
        <item x="148"/>
        <item x="244"/>
        <item x="247"/>
        <item x="178"/>
        <item x="207"/>
        <item x="89"/>
        <item x="55"/>
        <item x="28"/>
        <item x="169"/>
        <item x="260"/>
        <item x="1"/>
        <item x="256"/>
        <item x="72"/>
        <item x="254"/>
        <item x="32"/>
        <item x="106"/>
        <item x="212"/>
        <item x="265"/>
        <item x="73"/>
        <item x="107"/>
        <item x="84"/>
        <item x="97"/>
        <item x="114"/>
        <item x="221"/>
        <item x="131"/>
        <item x="149"/>
        <item x="22"/>
        <item x="136"/>
        <item x="211"/>
        <item x="23"/>
        <item x="153"/>
        <item x="90"/>
        <item x="112"/>
        <item x="214"/>
        <item x="185"/>
        <item x="42"/>
        <item x="182"/>
        <item x="133"/>
        <item x="102"/>
        <item x="79"/>
        <item x="159"/>
        <item x="140"/>
        <item x="170"/>
        <item x="241"/>
        <item x="91"/>
        <item x="47"/>
        <item x="35"/>
        <item x="126"/>
        <item x="162"/>
        <item x="209"/>
        <item x="158"/>
        <item x="119"/>
        <item x="19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4"/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5C6B2-4D42-44E8-BEC0-3E5DC2B2001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5">
    <pivotField showAll="0"/>
    <pivotField numFmtId="164" showAll="0">
      <items count="276">
        <item x="83"/>
        <item x="171"/>
        <item x="269"/>
        <item x="2"/>
        <item x="164"/>
        <item x="167"/>
        <item x="188"/>
        <item x="66"/>
        <item x="253"/>
        <item x="266"/>
        <item x="129"/>
        <item x="92"/>
        <item x="218"/>
        <item x="206"/>
        <item x="233"/>
        <item x="101"/>
        <item x="273"/>
        <item x="139"/>
        <item x="117"/>
        <item x="70"/>
        <item x="71"/>
        <item x="176"/>
        <item x="150"/>
        <item x="123"/>
        <item x="52"/>
        <item x="8"/>
        <item x="271"/>
        <item x="39"/>
        <item x="30"/>
        <item x="224"/>
        <item x="120"/>
        <item x="161"/>
        <item x="27"/>
        <item x="138"/>
        <item x="65"/>
        <item x="146"/>
        <item x="239"/>
        <item x="85"/>
        <item x="3"/>
        <item x="195"/>
        <item x="0"/>
        <item x="60"/>
        <item x="157"/>
        <item x="174"/>
        <item x="198"/>
        <item x="235"/>
        <item x="179"/>
        <item x="222"/>
        <item x="48"/>
        <item x="69"/>
        <item x="31"/>
        <item x="165"/>
        <item x="230"/>
        <item x="10"/>
        <item x="9"/>
        <item x="229"/>
        <item x="132"/>
        <item x="104"/>
        <item x="110"/>
        <item x="226"/>
        <item x="14"/>
        <item x="240"/>
        <item x="98"/>
        <item x="189"/>
        <item x="245"/>
        <item x="74"/>
        <item x="134"/>
        <item x="68"/>
        <item x="246"/>
        <item x="166"/>
        <item x="21"/>
        <item x="43"/>
        <item x="248"/>
        <item x="191"/>
        <item x="135"/>
        <item x="29"/>
        <item x="267"/>
        <item x="17"/>
        <item x="45"/>
        <item x="59"/>
        <item x="225"/>
        <item x="223"/>
        <item x="252"/>
        <item x="18"/>
        <item x="5"/>
        <item x="181"/>
        <item x="46"/>
        <item x="105"/>
        <item x="201"/>
        <item x="152"/>
        <item x="193"/>
        <item x="58"/>
        <item x="142"/>
        <item x="34"/>
        <item x="118"/>
        <item x="40"/>
        <item x="13"/>
        <item x="262"/>
        <item x="208"/>
        <item x="237"/>
        <item x="187"/>
        <item x="113"/>
        <item x="183"/>
        <item x="50"/>
        <item x="103"/>
        <item x="210"/>
        <item x="96"/>
        <item x="75"/>
        <item x="261"/>
        <item x="95"/>
        <item x="88"/>
        <item x="144"/>
        <item x="44"/>
        <item x="242"/>
        <item x="15"/>
        <item x="115"/>
        <item x="26"/>
        <item x="213"/>
        <item x="264"/>
        <item x="51"/>
        <item x="81"/>
        <item x="263"/>
        <item x="121"/>
        <item x="56"/>
        <item x="192"/>
        <item x="228"/>
        <item x="251"/>
        <item x="124"/>
        <item x="270"/>
        <item x="217"/>
        <item x="197"/>
        <item x="232"/>
        <item x="200"/>
        <item x="6"/>
        <item x="255"/>
        <item x="62"/>
        <item x="219"/>
        <item x="205"/>
        <item x="99"/>
        <item x="236"/>
        <item x="141"/>
        <item x="196"/>
        <item x="274"/>
        <item x="4"/>
        <item x="7"/>
        <item x="172"/>
        <item x="203"/>
        <item x="11"/>
        <item x="177"/>
        <item x="53"/>
        <item x="257"/>
        <item x="216"/>
        <item x="137"/>
        <item x="24"/>
        <item x="154"/>
        <item x="184"/>
        <item x="36"/>
        <item x="234"/>
        <item x="37"/>
        <item x="86"/>
        <item x="54"/>
        <item x="190"/>
        <item x="111"/>
        <item x="61"/>
        <item x="108"/>
        <item x="259"/>
        <item x="41"/>
        <item x="78"/>
        <item x="80"/>
        <item x="175"/>
        <item x="127"/>
        <item x="258"/>
        <item x="143"/>
        <item x="109"/>
        <item x="94"/>
        <item x="204"/>
        <item x="38"/>
        <item x="128"/>
        <item x="64"/>
        <item x="63"/>
        <item x="57"/>
        <item x="215"/>
        <item x="238"/>
        <item x="250"/>
        <item x="67"/>
        <item x="20"/>
        <item x="249"/>
        <item x="227"/>
        <item x="145"/>
        <item x="93"/>
        <item x="155"/>
        <item x="168"/>
        <item x="49"/>
        <item x="156"/>
        <item x="87"/>
        <item x="116"/>
        <item x="151"/>
        <item x="220"/>
        <item x="243"/>
        <item x="125"/>
        <item x="163"/>
        <item x="16"/>
        <item x="12"/>
        <item x="173"/>
        <item x="272"/>
        <item x="180"/>
        <item x="76"/>
        <item x="194"/>
        <item x="130"/>
        <item x="82"/>
        <item x="147"/>
        <item x="33"/>
        <item x="25"/>
        <item x="268"/>
        <item x="199"/>
        <item x="100"/>
        <item x="122"/>
        <item x="231"/>
        <item x="77"/>
        <item x="160"/>
        <item x="202"/>
        <item x="148"/>
        <item x="244"/>
        <item x="247"/>
        <item x="178"/>
        <item x="207"/>
        <item x="89"/>
        <item x="55"/>
        <item x="28"/>
        <item x="169"/>
        <item x="260"/>
        <item x="1"/>
        <item x="256"/>
        <item x="72"/>
        <item x="254"/>
        <item x="32"/>
        <item x="106"/>
        <item x="212"/>
        <item x="265"/>
        <item x="73"/>
        <item x="107"/>
        <item x="84"/>
        <item x="97"/>
        <item x="114"/>
        <item x="221"/>
        <item x="131"/>
        <item x="149"/>
        <item x="22"/>
        <item x="136"/>
        <item x="211"/>
        <item x="23"/>
        <item x="153"/>
        <item x="90"/>
        <item x="112"/>
        <item x="214"/>
        <item x="185"/>
        <item x="42"/>
        <item x="182"/>
        <item x="133"/>
        <item x="102"/>
        <item x="79"/>
        <item x="159"/>
        <item x="140"/>
        <item x="170"/>
        <item x="241"/>
        <item x="91"/>
        <item x="47"/>
        <item x="35"/>
        <item x="126"/>
        <item x="162"/>
        <item x="209"/>
        <item x="158"/>
        <item x="119"/>
        <item x="19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2F899-85DE-4F16-A09A-54062180F4B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A4" firstHeaderRow="1" firstDataRow="1" firstDataCol="0" rowPageCount="1" colPageCount="1"/>
  <pivotFields count="15">
    <pivotField showAll="0"/>
    <pivotField numFmtId="164" showAll="0">
      <items count="276">
        <item x="83"/>
        <item x="171"/>
        <item x="269"/>
        <item x="2"/>
        <item x="164"/>
        <item x="167"/>
        <item x="188"/>
        <item x="66"/>
        <item x="253"/>
        <item x="266"/>
        <item x="129"/>
        <item x="92"/>
        <item x="218"/>
        <item x="206"/>
        <item x="233"/>
        <item x="101"/>
        <item x="273"/>
        <item x="139"/>
        <item x="117"/>
        <item x="70"/>
        <item x="71"/>
        <item x="176"/>
        <item x="150"/>
        <item x="123"/>
        <item x="52"/>
        <item x="8"/>
        <item x="271"/>
        <item x="39"/>
        <item x="30"/>
        <item x="224"/>
        <item x="120"/>
        <item x="161"/>
        <item x="27"/>
        <item x="138"/>
        <item x="65"/>
        <item x="146"/>
        <item x="239"/>
        <item x="85"/>
        <item x="3"/>
        <item x="195"/>
        <item x="0"/>
        <item x="60"/>
        <item x="157"/>
        <item x="174"/>
        <item x="198"/>
        <item x="235"/>
        <item x="179"/>
        <item x="222"/>
        <item x="48"/>
        <item x="69"/>
        <item x="31"/>
        <item x="165"/>
        <item x="230"/>
        <item x="10"/>
        <item x="9"/>
        <item x="229"/>
        <item x="132"/>
        <item x="104"/>
        <item x="110"/>
        <item x="226"/>
        <item x="14"/>
        <item x="240"/>
        <item x="98"/>
        <item x="189"/>
        <item x="245"/>
        <item x="74"/>
        <item x="134"/>
        <item x="68"/>
        <item x="246"/>
        <item x="166"/>
        <item x="21"/>
        <item x="43"/>
        <item x="248"/>
        <item x="191"/>
        <item x="135"/>
        <item x="29"/>
        <item x="267"/>
        <item x="17"/>
        <item x="45"/>
        <item x="59"/>
        <item x="225"/>
        <item x="223"/>
        <item x="252"/>
        <item x="18"/>
        <item x="5"/>
        <item x="181"/>
        <item x="46"/>
        <item x="105"/>
        <item x="201"/>
        <item x="152"/>
        <item x="193"/>
        <item x="58"/>
        <item x="142"/>
        <item x="34"/>
        <item x="118"/>
        <item x="40"/>
        <item x="13"/>
        <item x="262"/>
        <item x="208"/>
        <item x="237"/>
        <item x="187"/>
        <item x="113"/>
        <item x="183"/>
        <item x="50"/>
        <item x="103"/>
        <item x="210"/>
        <item x="96"/>
        <item x="75"/>
        <item x="261"/>
        <item x="95"/>
        <item x="88"/>
        <item x="144"/>
        <item x="44"/>
        <item x="242"/>
        <item x="15"/>
        <item x="115"/>
        <item x="26"/>
        <item x="213"/>
        <item x="264"/>
        <item x="51"/>
        <item x="81"/>
        <item x="263"/>
        <item x="121"/>
        <item x="56"/>
        <item x="192"/>
        <item x="228"/>
        <item x="251"/>
        <item x="124"/>
        <item x="270"/>
        <item x="217"/>
        <item x="197"/>
        <item x="232"/>
        <item x="200"/>
        <item x="6"/>
        <item x="255"/>
        <item x="62"/>
        <item x="219"/>
        <item x="205"/>
        <item x="99"/>
        <item x="236"/>
        <item x="141"/>
        <item x="196"/>
        <item x="274"/>
        <item x="4"/>
        <item x="7"/>
        <item x="172"/>
        <item x="203"/>
        <item x="11"/>
        <item x="177"/>
        <item x="53"/>
        <item x="257"/>
        <item x="216"/>
        <item x="137"/>
        <item x="24"/>
        <item x="154"/>
        <item x="184"/>
        <item x="36"/>
        <item x="234"/>
        <item x="37"/>
        <item x="86"/>
        <item x="54"/>
        <item x="190"/>
        <item x="111"/>
        <item x="61"/>
        <item x="108"/>
        <item x="259"/>
        <item x="41"/>
        <item x="78"/>
        <item x="80"/>
        <item x="175"/>
        <item x="127"/>
        <item x="258"/>
        <item x="143"/>
        <item x="109"/>
        <item x="94"/>
        <item x="204"/>
        <item x="38"/>
        <item x="128"/>
        <item x="64"/>
        <item x="63"/>
        <item x="57"/>
        <item x="215"/>
        <item x="238"/>
        <item x="250"/>
        <item x="67"/>
        <item x="20"/>
        <item x="249"/>
        <item x="227"/>
        <item x="145"/>
        <item x="93"/>
        <item x="155"/>
        <item x="168"/>
        <item x="49"/>
        <item x="156"/>
        <item x="87"/>
        <item x="116"/>
        <item x="151"/>
        <item x="220"/>
        <item x="243"/>
        <item x="125"/>
        <item x="163"/>
        <item x="16"/>
        <item x="12"/>
        <item x="173"/>
        <item x="272"/>
        <item x="180"/>
        <item x="76"/>
        <item x="194"/>
        <item x="130"/>
        <item x="82"/>
        <item x="147"/>
        <item x="33"/>
        <item x="25"/>
        <item x="268"/>
        <item x="199"/>
        <item x="100"/>
        <item x="122"/>
        <item x="231"/>
        <item x="77"/>
        <item x="160"/>
        <item x="202"/>
        <item x="148"/>
        <item x="244"/>
        <item x="247"/>
        <item x="178"/>
        <item x="207"/>
        <item x="89"/>
        <item x="55"/>
        <item x="28"/>
        <item x="169"/>
        <item x="260"/>
        <item x="1"/>
        <item x="256"/>
        <item x="72"/>
        <item x="254"/>
        <item x="32"/>
        <item x="106"/>
        <item x="212"/>
        <item x="265"/>
        <item x="73"/>
        <item x="107"/>
        <item x="84"/>
        <item x="97"/>
        <item x="114"/>
        <item x="221"/>
        <item x="131"/>
        <item x="149"/>
        <item x="22"/>
        <item x="136"/>
        <item x="211"/>
        <item x="23"/>
        <item x="153"/>
        <item x="90"/>
        <item x="112"/>
        <item x="214"/>
        <item x="185"/>
        <item x="42"/>
        <item x="182"/>
        <item x="133"/>
        <item x="102"/>
        <item x="79"/>
        <item x="159"/>
        <item x="140"/>
        <item x="170"/>
        <item x="241"/>
        <item x="91"/>
        <item x="47"/>
        <item x="35"/>
        <item x="126"/>
        <item x="162"/>
        <item x="209"/>
        <item x="158"/>
        <item x="119"/>
        <item x="19"/>
        <item x="186"/>
        <item t="default"/>
      </items>
    </pivotField>
    <pivotField showAll="0"/>
    <pivotField showAll="0"/>
    <pivotField axis="axisPage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pageFields count="1">
    <pageField fld="4" hier="-1"/>
  </pageField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0E61F-D456-44ED-851A-93A95911EF23}" name="Table1" displayName="Table1" ref="A3:M98" totalsRowShown="0">
  <autoFilter ref="A3:M98" xr:uid="{A9E0E61F-D456-44ED-851A-93A95911EF23}"/>
  <tableColumns count="13">
    <tableColumn id="1" xr3:uid="{CCC69B24-7E4B-41E9-99D5-91C7B25B4C99}" name="Order_ID"/>
    <tableColumn id="2" xr3:uid="{30B224A2-3A1C-4461-8197-81A9DF62FEB5}" name="Order_Date" dataDxfId="8"/>
    <tableColumn id="3" xr3:uid="{70350AB2-8233-4AEC-A148-9F99B79B30FB}" name="Customer_ID"/>
    <tableColumn id="4" xr3:uid="{B02B6AA4-06F9-4175-8308-0BF3C0A2CEA5}" name="City"/>
    <tableColumn id="5" xr3:uid="{150FAA7B-FC54-4A0E-9D3D-648D849E7146}" name="Category"/>
    <tableColumn id="6" xr3:uid="{50B46DA9-5BBE-41B1-B890-02A7B9FE85B5}" name="Product"/>
    <tableColumn id="7" xr3:uid="{4408B996-48D3-439A-AE5C-C4E1C5A57593}" name="Quantity"/>
    <tableColumn id="8" xr3:uid="{AB1F8682-0DFE-4F38-9739-396ACEF6892E}" name="Unit_Price"/>
    <tableColumn id="9" xr3:uid="{756A3C0B-909B-4249-99D6-A96F04C85677}" name="Discount_Percent"/>
    <tableColumn id="10" xr3:uid="{D62EEF90-7F75-4790-AA47-49A0D943B05E}" name="Sales"/>
    <tableColumn id="11" xr3:uid="{7E5A2E95-FD2B-4737-9B97-B9A146531CCB}" name="Cost"/>
    <tableColumn id="12" xr3:uid="{958BA8E3-9ECD-4632-AF6C-6D2B2F33A8A5}" name="Profit"/>
    <tableColumn id="13" xr3:uid="{CC3C0896-108B-4CDE-A08C-77E627C23D78}" name="Payment_Metho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6ECE79-70B4-45F9-8626-BBF4CA385582}" name="Table2" displayName="Table2" ref="A1:Q501" totalsRowShown="0" headerRowDxfId="7" headerRowBorderDxfId="6" tableBorderDxfId="5">
  <autoFilter ref="A1:Q501" xr:uid="{DE6ECE79-70B4-45F9-8626-BBF4CA385582}"/>
  <tableColumns count="17">
    <tableColumn id="1" xr3:uid="{A10A2FB4-D51E-48F2-BF0E-6E7C73EDBB80}" name="Order_ID"/>
    <tableColumn id="2" xr3:uid="{6D92864D-431B-4509-A08B-90204864A800}" name="Order_Date" dataDxfId="4"/>
    <tableColumn id="3" xr3:uid="{A4ED7AC5-036E-4F57-BBDB-032385A8E9F4}" name="Customer_ID"/>
    <tableColumn id="4" xr3:uid="{AAC72C49-36AC-4832-AA14-8E6A118083E4}" name="City"/>
    <tableColumn id="5" xr3:uid="{CC99CF81-75BB-4AD9-9BAD-870BB28E8895}" name="Category"/>
    <tableColumn id="6" xr3:uid="{18496409-329B-49C0-B256-4264E406F273}" name="Product"/>
    <tableColumn id="7" xr3:uid="{0968F5C1-A5AF-40BD-9008-B6EDE06068E8}" name="Quantity"/>
    <tableColumn id="8" xr3:uid="{BF7FFA4F-689A-4BE7-A0AC-AF411E9D1DB0}" name="Unit_Price"/>
    <tableColumn id="9" xr3:uid="{465928EC-F2A3-4FCC-97DE-A5F97D74DF2C}" name="Discount_Percent"/>
    <tableColumn id="10" xr3:uid="{349F4B59-E1B3-4C46-A922-AF3B46093F9B}" name="Sales"/>
    <tableColumn id="11" xr3:uid="{A12946BA-0ABC-4C12-8272-71137E97411C}" name="Cost"/>
    <tableColumn id="12" xr3:uid="{765D61BF-34B7-40DC-92EF-DEE2B41E7C1D}" name="Profit"/>
    <tableColumn id="13" xr3:uid="{1018BCD1-3E1C-4A24-9546-FB79629EF5F9}" name="Payment_Method"/>
    <tableColumn id="14" xr3:uid="{4B300233-FB18-4E8D-9C0C-7A6E50C2400E}" name="Total Sales" dataDxfId="3">
      <calculatedColumnFormula>SUM(J2:J501)</calculatedColumnFormula>
    </tableColumn>
    <tableColumn id="15" xr3:uid="{D4BBB3D1-BB69-475D-B6B6-A3F20F59EBA6}" name="Total Profit" dataDxfId="2">
      <calculatedColumnFormula>SUM(L2:L501)</calculatedColumnFormula>
    </tableColumn>
    <tableColumn id="16" xr3:uid="{3491F945-AFDD-43C3-B53B-02CD1940C027}" name="Total Orders" dataDxfId="1">
      <calculatedColumnFormula>COUNTA(A2:A501)</calculatedColumnFormula>
    </tableColumn>
    <tableColumn id="17" xr3:uid="{943D3B46-CA1A-4D8B-8071-A18718DED21E}" name="Total Customers" dataDxfId="0">
      <calculatedColumnFormula>COUNTA(_xlfn.UNIQUE(C2:C501))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B05C-F21E-4633-9697-E6ABB237ED59}">
  <dimension ref="A3:B9"/>
  <sheetViews>
    <sheetView workbookViewId="0">
      <selection activeCell="G1" sqref="G1"/>
    </sheetView>
  </sheetViews>
  <sheetFormatPr defaultRowHeight="15" x14ac:dyDescent="0.25"/>
  <cols>
    <col min="1" max="1" width="15.42578125" bestFit="1" customWidth="1"/>
    <col min="2" max="2" width="12.140625" bestFit="1" customWidth="1"/>
  </cols>
  <sheetData>
    <row r="3" spans="1:2" x14ac:dyDescent="0.25">
      <c r="A3" s="4" t="s">
        <v>701</v>
      </c>
      <c r="B3" t="s">
        <v>704</v>
      </c>
    </row>
    <row r="4" spans="1:2" x14ac:dyDescent="0.25">
      <c r="A4" s="5" t="s">
        <v>22</v>
      </c>
      <c r="B4">
        <v>512060</v>
      </c>
    </row>
    <row r="5" spans="1:2" x14ac:dyDescent="0.25">
      <c r="A5" s="5" t="s">
        <v>28</v>
      </c>
      <c r="B5">
        <v>250720</v>
      </c>
    </row>
    <row r="6" spans="1:2" x14ac:dyDescent="0.25">
      <c r="A6" s="5" t="s">
        <v>16</v>
      </c>
      <c r="B6">
        <v>10322140</v>
      </c>
    </row>
    <row r="7" spans="1:2" x14ac:dyDescent="0.25">
      <c r="A7" s="5" t="s">
        <v>34</v>
      </c>
      <c r="B7">
        <v>943917.5</v>
      </c>
    </row>
    <row r="8" spans="1:2" x14ac:dyDescent="0.25">
      <c r="A8" s="5" t="s">
        <v>55</v>
      </c>
      <c r="B8">
        <v>1684972.5</v>
      </c>
    </row>
    <row r="9" spans="1:2" x14ac:dyDescent="0.25">
      <c r="A9" s="5" t="s">
        <v>703</v>
      </c>
      <c r="B9">
        <v>13713810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6648-F3CB-4302-954A-41D917BBDFD4}">
  <dimension ref="A3:B14"/>
  <sheetViews>
    <sheetView workbookViewId="0">
      <selection activeCell="N8" sqref="N8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701</v>
      </c>
      <c r="B3" t="s">
        <v>704</v>
      </c>
    </row>
    <row r="4" spans="1:2" x14ac:dyDescent="0.25">
      <c r="A4" s="5" t="s">
        <v>68</v>
      </c>
      <c r="B4">
        <v>1259597.5</v>
      </c>
    </row>
    <row r="5" spans="1:2" x14ac:dyDescent="0.25">
      <c r="A5" s="5" t="s">
        <v>44</v>
      </c>
      <c r="B5">
        <v>1354107.5</v>
      </c>
    </row>
    <row r="6" spans="1:2" x14ac:dyDescent="0.25">
      <c r="A6" s="5" t="s">
        <v>75</v>
      </c>
      <c r="B6">
        <v>1168260</v>
      </c>
    </row>
    <row r="7" spans="1:2" x14ac:dyDescent="0.25">
      <c r="A7" s="5" t="s">
        <v>52</v>
      </c>
      <c r="B7">
        <v>1155222.5</v>
      </c>
    </row>
    <row r="8" spans="1:2" x14ac:dyDescent="0.25">
      <c r="A8" s="5" t="s">
        <v>80</v>
      </c>
      <c r="B8">
        <v>1159805</v>
      </c>
    </row>
    <row r="9" spans="1:2" x14ac:dyDescent="0.25">
      <c r="A9" s="5" t="s">
        <v>59</v>
      </c>
      <c r="B9">
        <v>2154447.5</v>
      </c>
    </row>
    <row r="10" spans="1:2" x14ac:dyDescent="0.25">
      <c r="A10" s="5" t="s">
        <v>33</v>
      </c>
      <c r="B10">
        <v>976390</v>
      </c>
    </row>
    <row r="11" spans="1:2" x14ac:dyDescent="0.25">
      <c r="A11" s="5" t="s">
        <v>21</v>
      </c>
      <c r="B11">
        <v>1651897.5</v>
      </c>
    </row>
    <row r="12" spans="1:2" x14ac:dyDescent="0.25">
      <c r="A12" s="5" t="s">
        <v>15</v>
      </c>
      <c r="B12">
        <v>1483900</v>
      </c>
    </row>
    <row r="13" spans="1:2" x14ac:dyDescent="0.25">
      <c r="A13" s="5" t="s">
        <v>27</v>
      </c>
      <c r="B13">
        <v>1350182.5</v>
      </c>
    </row>
    <row r="14" spans="1:2" x14ac:dyDescent="0.25">
      <c r="A14" s="5" t="s">
        <v>703</v>
      </c>
      <c r="B14">
        <v>13713810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EDA4-FBA5-4FB4-A85B-AF23730B352D}">
  <dimension ref="A3:B29"/>
  <sheetViews>
    <sheetView workbookViewId="0">
      <selection activeCell="L14" sqref="L14"/>
    </sheetView>
  </sheetViews>
  <sheetFormatPr defaultRowHeight="15" x14ac:dyDescent="0.25"/>
  <cols>
    <col min="1" max="1" width="15.5703125" bestFit="1" customWidth="1"/>
    <col min="2" max="2" width="12.140625" bestFit="1" customWidth="1"/>
  </cols>
  <sheetData>
    <row r="3" spans="1:2" x14ac:dyDescent="0.25">
      <c r="A3" s="4" t="s">
        <v>701</v>
      </c>
      <c r="B3" t="s">
        <v>704</v>
      </c>
    </row>
    <row r="4" spans="1:2" x14ac:dyDescent="0.25">
      <c r="A4" s="5" t="s">
        <v>97</v>
      </c>
      <c r="B4">
        <v>427672.5</v>
      </c>
    </row>
    <row r="5" spans="1:2" x14ac:dyDescent="0.25">
      <c r="A5" s="5" t="s">
        <v>29</v>
      </c>
      <c r="B5">
        <v>49270</v>
      </c>
    </row>
    <row r="6" spans="1:2" x14ac:dyDescent="0.25">
      <c r="A6" s="5" t="s">
        <v>179</v>
      </c>
      <c r="B6">
        <v>435102.5</v>
      </c>
    </row>
    <row r="7" spans="1:2" x14ac:dyDescent="0.25">
      <c r="A7" s="5" t="s">
        <v>141</v>
      </c>
      <c r="B7">
        <v>307467.5</v>
      </c>
    </row>
    <row r="8" spans="1:2" x14ac:dyDescent="0.25">
      <c r="A8" s="5" t="s">
        <v>86</v>
      </c>
      <c r="B8">
        <v>44535</v>
      </c>
    </row>
    <row r="9" spans="1:2" x14ac:dyDescent="0.25">
      <c r="A9" s="5" t="s">
        <v>23</v>
      </c>
      <c r="B9">
        <v>99000</v>
      </c>
    </row>
    <row r="10" spans="1:2" x14ac:dyDescent="0.25">
      <c r="A10" s="5" t="s">
        <v>60</v>
      </c>
      <c r="B10">
        <v>156357.5</v>
      </c>
    </row>
    <row r="11" spans="1:2" x14ac:dyDescent="0.25">
      <c r="A11" s="5" t="s">
        <v>72</v>
      </c>
      <c r="B11">
        <v>1479405</v>
      </c>
    </row>
    <row r="12" spans="1:2" x14ac:dyDescent="0.25">
      <c r="A12" s="5" t="s">
        <v>69</v>
      </c>
      <c r="B12">
        <v>145155</v>
      </c>
    </row>
    <row r="13" spans="1:2" x14ac:dyDescent="0.25">
      <c r="A13" s="5" t="s">
        <v>35</v>
      </c>
      <c r="B13">
        <v>181030</v>
      </c>
    </row>
    <row r="14" spans="1:2" x14ac:dyDescent="0.25">
      <c r="A14" s="5" t="s">
        <v>17</v>
      </c>
      <c r="B14">
        <v>2567940</v>
      </c>
    </row>
    <row r="15" spans="1:2" x14ac:dyDescent="0.25">
      <c r="A15" s="5" t="s">
        <v>132</v>
      </c>
      <c r="B15">
        <v>198070</v>
      </c>
    </row>
    <row r="16" spans="1:2" x14ac:dyDescent="0.25">
      <c r="A16" s="5" t="s">
        <v>95</v>
      </c>
      <c r="B16">
        <v>118810</v>
      </c>
    </row>
    <row r="17" spans="1:2" x14ac:dyDescent="0.25">
      <c r="A17" s="5" t="s">
        <v>78</v>
      </c>
      <c r="B17">
        <v>51090</v>
      </c>
    </row>
    <row r="18" spans="1:2" x14ac:dyDescent="0.25">
      <c r="A18" s="5" t="s">
        <v>165</v>
      </c>
      <c r="B18">
        <v>93690</v>
      </c>
    </row>
    <row r="19" spans="1:2" x14ac:dyDescent="0.25">
      <c r="A19" s="5" t="s">
        <v>49</v>
      </c>
      <c r="B19">
        <v>42160</v>
      </c>
    </row>
    <row r="20" spans="1:2" x14ac:dyDescent="0.25">
      <c r="A20" s="5" t="s">
        <v>83</v>
      </c>
      <c r="B20">
        <v>73860</v>
      </c>
    </row>
    <row r="21" spans="1:2" x14ac:dyDescent="0.25">
      <c r="A21" s="5" t="s">
        <v>107</v>
      </c>
      <c r="B21">
        <v>2142892.5</v>
      </c>
    </row>
    <row r="22" spans="1:2" x14ac:dyDescent="0.25">
      <c r="A22" s="5" t="s">
        <v>45</v>
      </c>
      <c r="B22">
        <v>1576407.5</v>
      </c>
    </row>
    <row r="23" spans="1:2" x14ac:dyDescent="0.25">
      <c r="A23" s="5" t="s">
        <v>116</v>
      </c>
      <c r="B23">
        <v>173482.5</v>
      </c>
    </row>
    <row r="24" spans="1:2" x14ac:dyDescent="0.25">
      <c r="A24" s="5" t="s">
        <v>104</v>
      </c>
      <c r="B24">
        <v>126700</v>
      </c>
    </row>
    <row r="25" spans="1:2" x14ac:dyDescent="0.25">
      <c r="A25" s="5" t="s">
        <v>240</v>
      </c>
      <c r="B25">
        <v>2555495</v>
      </c>
    </row>
    <row r="26" spans="1:2" x14ac:dyDescent="0.25">
      <c r="A26" s="5" t="s">
        <v>41</v>
      </c>
      <c r="B26">
        <v>63665</v>
      </c>
    </row>
    <row r="27" spans="1:2" x14ac:dyDescent="0.25">
      <c r="A27" s="5" t="s">
        <v>38</v>
      </c>
      <c r="B27">
        <v>287892.5</v>
      </c>
    </row>
    <row r="28" spans="1:2" x14ac:dyDescent="0.25">
      <c r="A28" s="5" t="s">
        <v>56</v>
      </c>
      <c r="B28">
        <v>316660</v>
      </c>
    </row>
    <row r="29" spans="1:2" x14ac:dyDescent="0.25">
      <c r="A29" s="5" t="s">
        <v>703</v>
      </c>
      <c r="B29">
        <v>13713810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C302-F7DD-4ACE-AA14-AB1D7689CFCB}">
  <dimension ref="A3:B16"/>
  <sheetViews>
    <sheetView workbookViewId="0">
      <selection activeCell="N9" sqref="N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701</v>
      </c>
      <c r="B3" t="s">
        <v>704</v>
      </c>
    </row>
    <row r="4" spans="1:2" x14ac:dyDescent="0.25">
      <c r="A4" s="5" t="s">
        <v>706</v>
      </c>
      <c r="B4">
        <v>991935</v>
      </c>
    </row>
    <row r="5" spans="1:2" x14ac:dyDescent="0.25">
      <c r="A5" s="5" t="s">
        <v>707</v>
      </c>
      <c r="B5">
        <v>1257990</v>
      </c>
    </row>
    <row r="6" spans="1:2" x14ac:dyDescent="0.25">
      <c r="A6" s="5" t="s">
        <v>708</v>
      </c>
      <c r="B6">
        <v>1496322.5</v>
      </c>
    </row>
    <row r="7" spans="1:2" x14ac:dyDescent="0.25">
      <c r="A7" s="5" t="s">
        <v>709</v>
      </c>
      <c r="B7">
        <v>659395</v>
      </c>
    </row>
    <row r="8" spans="1:2" x14ac:dyDescent="0.25">
      <c r="A8" s="5" t="s">
        <v>710</v>
      </c>
      <c r="B8">
        <v>1122582.5</v>
      </c>
    </row>
    <row r="9" spans="1:2" x14ac:dyDescent="0.25">
      <c r="A9" s="5" t="s">
        <v>711</v>
      </c>
      <c r="B9">
        <v>1068040</v>
      </c>
    </row>
    <row r="10" spans="1:2" x14ac:dyDescent="0.25">
      <c r="A10" s="5" t="s">
        <v>712</v>
      </c>
      <c r="B10">
        <v>1808070</v>
      </c>
    </row>
    <row r="11" spans="1:2" x14ac:dyDescent="0.25">
      <c r="A11" s="5" t="s">
        <v>713</v>
      </c>
      <c r="B11">
        <v>966140</v>
      </c>
    </row>
    <row r="12" spans="1:2" x14ac:dyDescent="0.25">
      <c r="A12" s="5" t="s">
        <v>714</v>
      </c>
      <c r="B12">
        <v>913115</v>
      </c>
    </row>
    <row r="13" spans="1:2" x14ac:dyDescent="0.25">
      <c r="A13" s="5" t="s">
        <v>715</v>
      </c>
      <c r="B13">
        <v>1283230</v>
      </c>
    </row>
    <row r="14" spans="1:2" x14ac:dyDescent="0.25">
      <c r="A14" s="5" t="s">
        <v>716</v>
      </c>
      <c r="B14">
        <v>866082.5</v>
      </c>
    </row>
    <row r="15" spans="1:2" x14ac:dyDescent="0.25">
      <c r="A15" s="5" t="s">
        <v>717</v>
      </c>
      <c r="B15">
        <v>1280907.5</v>
      </c>
    </row>
    <row r="16" spans="1:2" x14ac:dyDescent="0.25">
      <c r="A16" s="5" t="s">
        <v>703</v>
      </c>
      <c r="B16">
        <v>13713810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8BE1-9F00-48BE-9B4E-B7514B969E6C}">
  <dimension ref="A1:M98"/>
  <sheetViews>
    <sheetView workbookViewId="0">
      <selection activeCell="B8" sqref="B8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4.7109375" bestFit="1" customWidth="1"/>
    <col min="4" max="4" width="10.5703125" bestFit="1" customWidth="1"/>
    <col min="5" max="5" width="15.42578125" bestFit="1" customWidth="1"/>
    <col min="6" max="6" width="15.5703125" bestFit="1" customWidth="1"/>
    <col min="7" max="7" width="11" bestFit="1" customWidth="1"/>
    <col min="8" max="8" width="12.5703125" bestFit="1" customWidth="1"/>
    <col min="9" max="9" width="19" bestFit="1" customWidth="1"/>
    <col min="10" max="12" width="9.28515625" bestFit="1" customWidth="1"/>
    <col min="13" max="13" width="19.5703125" bestFit="1" customWidth="1"/>
  </cols>
  <sheetData>
    <row r="1" spans="1:13" x14ac:dyDescent="0.25">
      <c r="A1" s="7" t="s">
        <v>718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25">
      <c r="A4" t="s">
        <v>698</v>
      </c>
      <c r="B4" s="6">
        <v>46215</v>
      </c>
      <c r="C4" t="s">
        <v>418</v>
      </c>
      <c r="D4" t="s">
        <v>33</v>
      </c>
      <c r="E4" t="s">
        <v>16</v>
      </c>
      <c r="F4" t="s">
        <v>17</v>
      </c>
      <c r="G4">
        <v>5</v>
      </c>
      <c r="H4">
        <v>69700</v>
      </c>
      <c r="I4">
        <v>0</v>
      </c>
      <c r="J4">
        <v>348500</v>
      </c>
      <c r="K4">
        <v>240581.99</v>
      </c>
      <c r="L4">
        <v>107918.01</v>
      </c>
      <c r="M4" t="s">
        <v>63</v>
      </c>
    </row>
    <row r="5" spans="1:13" x14ac:dyDescent="0.25">
      <c r="A5" t="s">
        <v>696</v>
      </c>
      <c r="B5" s="6">
        <v>46379</v>
      </c>
      <c r="C5" t="s">
        <v>217</v>
      </c>
      <c r="D5" t="s">
        <v>15</v>
      </c>
      <c r="E5" t="s">
        <v>55</v>
      </c>
      <c r="F5" t="s">
        <v>56</v>
      </c>
      <c r="G5">
        <v>4</v>
      </c>
      <c r="H5">
        <v>6250</v>
      </c>
      <c r="I5">
        <v>20</v>
      </c>
      <c r="J5">
        <v>20000</v>
      </c>
      <c r="K5">
        <v>15344.95</v>
      </c>
      <c r="L5">
        <v>4655.05</v>
      </c>
      <c r="M5" t="s">
        <v>63</v>
      </c>
    </row>
    <row r="6" spans="1:13" x14ac:dyDescent="0.25">
      <c r="A6" t="s">
        <v>695</v>
      </c>
      <c r="B6" s="6">
        <v>46212</v>
      </c>
      <c r="C6" t="s">
        <v>236</v>
      </c>
      <c r="D6" t="s">
        <v>21</v>
      </c>
      <c r="E6" t="s">
        <v>28</v>
      </c>
      <c r="F6" t="s">
        <v>86</v>
      </c>
      <c r="G6">
        <v>1</v>
      </c>
      <c r="H6">
        <v>1750</v>
      </c>
      <c r="I6">
        <v>15</v>
      </c>
      <c r="J6">
        <v>1487.5</v>
      </c>
      <c r="K6">
        <v>1027.79</v>
      </c>
      <c r="L6">
        <v>459.71</v>
      </c>
      <c r="M6" t="s">
        <v>63</v>
      </c>
    </row>
    <row r="7" spans="1:13" x14ac:dyDescent="0.25">
      <c r="A7" t="s">
        <v>692</v>
      </c>
      <c r="B7" s="6">
        <v>46328</v>
      </c>
      <c r="C7" t="s">
        <v>445</v>
      </c>
      <c r="D7" t="s">
        <v>80</v>
      </c>
      <c r="E7" t="s">
        <v>28</v>
      </c>
      <c r="F7" t="s">
        <v>86</v>
      </c>
      <c r="G7">
        <v>3</v>
      </c>
      <c r="H7">
        <v>500</v>
      </c>
      <c r="I7">
        <v>10</v>
      </c>
      <c r="J7">
        <v>1350</v>
      </c>
      <c r="K7">
        <v>1078.7</v>
      </c>
      <c r="L7">
        <v>271.3</v>
      </c>
      <c r="M7" t="s">
        <v>63</v>
      </c>
    </row>
    <row r="8" spans="1:13" x14ac:dyDescent="0.25">
      <c r="A8" t="s">
        <v>687</v>
      </c>
      <c r="B8" s="6">
        <v>46235</v>
      </c>
      <c r="C8" t="s">
        <v>238</v>
      </c>
      <c r="D8" t="s">
        <v>15</v>
      </c>
      <c r="E8" t="s">
        <v>55</v>
      </c>
      <c r="F8" t="s">
        <v>97</v>
      </c>
      <c r="G8">
        <v>3</v>
      </c>
      <c r="H8">
        <v>10350</v>
      </c>
      <c r="I8">
        <v>0</v>
      </c>
      <c r="J8">
        <v>31050</v>
      </c>
      <c r="K8">
        <v>22619.91</v>
      </c>
      <c r="L8">
        <v>8430.09</v>
      </c>
      <c r="M8" t="s">
        <v>63</v>
      </c>
    </row>
    <row r="9" spans="1:13" x14ac:dyDescent="0.25">
      <c r="A9" t="s">
        <v>679</v>
      </c>
      <c r="B9" s="6">
        <v>46279</v>
      </c>
      <c r="C9" t="s">
        <v>58</v>
      </c>
      <c r="D9" t="s">
        <v>15</v>
      </c>
      <c r="E9" t="s">
        <v>22</v>
      </c>
      <c r="F9" t="s">
        <v>95</v>
      </c>
      <c r="G9">
        <v>5</v>
      </c>
      <c r="H9">
        <v>3200</v>
      </c>
      <c r="I9">
        <v>10</v>
      </c>
      <c r="J9">
        <v>14400</v>
      </c>
      <c r="K9">
        <v>8440.5300000000007</v>
      </c>
      <c r="L9">
        <v>5959.47</v>
      </c>
      <c r="M9" t="s">
        <v>63</v>
      </c>
    </row>
    <row r="10" spans="1:13" x14ac:dyDescent="0.25">
      <c r="A10" t="s">
        <v>674</v>
      </c>
      <c r="B10" s="6">
        <v>46183</v>
      </c>
      <c r="C10" t="s">
        <v>54</v>
      </c>
      <c r="D10" t="s">
        <v>80</v>
      </c>
      <c r="E10" t="s">
        <v>28</v>
      </c>
      <c r="F10" t="s">
        <v>86</v>
      </c>
      <c r="G10">
        <v>3</v>
      </c>
      <c r="H10">
        <v>800</v>
      </c>
      <c r="I10">
        <v>15</v>
      </c>
      <c r="J10">
        <v>2040</v>
      </c>
      <c r="K10">
        <v>1214.8900000000001</v>
      </c>
      <c r="L10">
        <v>825.11</v>
      </c>
      <c r="M10" t="s">
        <v>63</v>
      </c>
    </row>
    <row r="11" spans="1:13" x14ac:dyDescent="0.25">
      <c r="A11" t="s">
        <v>668</v>
      </c>
      <c r="B11" s="6">
        <v>46025</v>
      </c>
      <c r="C11" t="s">
        <v>530</v>
      </c>
      <c r="D11" t="s">
        <v>52</v>
      </c>
      <c r="E11" t="s">
        <v>34</v>
      </c>
      <c r="F11" t="s">
        <v>38</v>
      </c>
      <c r="G11">
        <v>5</v>
      </c>
      <c r="H11">
        <v>4950</v>
      </c>
      <c r="I11">
        <v>5</v>
      </c>
      <c r="J11">
        <v>23512.5</v>
      </c>
      <c r="K11">
        <v>13714.22</v>
      </c>
      <c r="L11">
        <v>9798.2800000000007</v>
      </c>
      <c r="M11" t="s">
        <v>63</v>
      </c>
    </row>
    <row r="12" spans="1:13" x14ac:dyDescent="0.25">
      <c r="A12" t="s">
        <v>640</v>
      </c>
      <c r="B12" s="6">
        <v>46330</v>
      </c>
      <c r="C12" t="s">
        <v>274</v>
      </c>
      <c r="D12" t="s">
        <v>21</v>
      </c>
      <c r="E12" t="s">
        <v>55</v>
      </c>
      <c r="F12" t="s">
        <v>179</v>
      </c>
      <c r="G12">
        <v>2</v>
      </c>
      <c r="H12">
        <v>2600</v>
      </c>
      <c r="I12">
        <v>0</v>
      </c>
      <c r="J12">
        <v>5200</v>
      </c>
      <c r="K12">
        <v>3403.92</v>
      </c>
      <c r="L12">
        <v>1796.08</v>
      </c>
      <c r="M12" t="s">
        <v>63</v>
      </c>
    </row>
    <row r="13" spans="1:13" x14ac:dyDescent="0.25">
      <c r="A13" t="s">
        <v>632</v>
      </c>
      <c r="B13" s="6">
        <v>46277</v>
      </c>
      <c r="C13" t="s">
        <v>172</v>
      </c>
      <c r="D13" t="s">
        <v>15</v>
      </c>
      <c r="E13" t="s">
        <v>28</v>
      </c>
      <c r="F13" t="s">
        <v>29</v>
      </c>
      <c r="G13">
        <v>1</v>
      </c>
      <c r="H13">
        <v>1150</v>
      </c>
      <c r="I13">
        <v>15</v>
      </c>
      <c r="J13">
        <v>977.5</v>
      </c>
      <c r="K13">
        <v>621.04</v>
      </c>
      <c r="L13">
        <v>356.46</v>
      </c>
      <c r="M13" t="s">
        <v>63</v>
      </c>
    </row>
    <row r="14" spans="1:13" x14ac:dyDescent="0.25">
      <c r="A14" t="s">
        <v>631</v>
      </c>
      <c r="B14" s="6">
        <v>46143</v>
      </c>
      <c r="C14" t="s">
        <v>37</v>
      </c>
      <c r="D14" t="s">
        <v>59</v>
      </c>
      <c r="E14" t="s">
        <v>16</v>
      </c>
      <c r="F14" t="s">
        <v>240</v>
      </c>
      <c r="G14">
        <v>2</v>
      </c>
      <c r="H14">
        <v>73350</v>
      </c>
      <c r="I14">
        <v>15</v>
      </c>
      <c r="J14">
        <v>124695</v>
      </c>
      <c r="K14">
        <v>82159.64</v>
      </c>
      <c r="L14">
        <v>42535.360000000001</v>
      </c>
      <c r="M14" t="s">
        <v>63</v>
      </c>
    </row>
    <row r="15" spans="1:13" x14ac:dyDescent="0.25">
      <c r="A15" t="s">
        <v>61</v>
      </c>
      <c r="B15" s="6">
        <v>46220</v>
      </c>
      <c r="C15" t="s">
        <v>62</v>
      </c>
      <c r="D15" t="s">
        <v>52</v>
      </c>
      <c r="E15" t="s">
        <v>16</v>
      </c>
      <c r="F15" t="s">
        <v>17</v>
      </c>
      <c r="G15">
        <v>2</v>
      </c>
      <c r="H15">
        <v>22150</v>
      </c>
      <c r="I15">
        <v>15</v>
      </c>
      <c r="J15">
        <v>37655</v>
      </c>
      <c r="K15">
        <v>26773.85</v>
      </c>
      <c r="L15">
        <v>10881.15</v>
      </c>
      <c r="M15" t="s">
        <v>63</v>
      </c>
    </row>
    <row r="16" spans="1:13" x14ac:dyDescent="0.25">
      <c r="A16" t="s">
        <v>626</v>
      </c>
      <c r="B16" s="6">
        <v>46206</v>
      </c>
      <c r="C16" t="s">
        <v>291</v>
      </c>
      <c r="D16" t="s">
        <v>68</v>
      </c>
      <c r="E16" t="s">
        <v>22</v>
      </c>
      <c r="F16" t="s">
        <v>104</v>
      </c>
      <c r="G16">
        <v>4</v>
      </c>
      <c r="H16">
        <v>950</v>
      </c>
      <c r="I16">
        <v>20</v>
      </c>
      <c r="J16">
        <v>3040</v>
      </c>
      <c r="K16">
        <v>1983.7</v>
      </c>
      <c r="L16">
        <v>1056.3</v>
      </c>
      <c r="M16" t="s">
        <v>63</v>
      </c>
    </row>
    <row r="17" spans="1:13" x14ac:dyDescent="0.25">
      <c r="A17" t="s">
        <v>624</v>
      </c>
      <c r="B17" s="6">
        <v>46162</v>
      </c>
      <c r="C17" t="s">
        <v>380</v>
      </c>
      <c r="D17" t="s">
        <v>59</v>
      </c>
      <c r="E17" t="s">
        <v>34</v>
      </c>
      <c r="F17" t="s">
        <v>35</v>
      </c>
      <c r="G17">
        <v>1</v>
      </c>
      <c r="H17">
        <v>3700</v>
      </c>
      <c r="I17">
        <v>15</v>
      </c>
      <c r="J17">
        <v>3145</v>
      </c>
      <c r="K17">
        <v>2546.9</v>
      </c>
      <c r="L17">
        <v>598.1</v>
      </c>
      <c r="M17" t="s">
        <v>63</v>
      </c>
    </row>
    <row r="18" spans="1:13" x14ac:dyDescent="0.25">
      <c r="A18" t="s">
        <v>614</v>
      </c>
      <c r="B18" s="6">
        <v>46033</v>
      </c>
      <c r="C18" t="s">
        <v>427</v>
      </c>
      <c r="D18" t="s">
        <v>15</v>
      </c>
      <c r="E18" t="s">
        <v>28</v>
      </c>
      <c r="F18" t="s">
        <v>78</v>
      </c>
      <c r="G18">
        <v>5</v>
      </c>
      <c r="H18">
        <v>250</v>
      </c>
      <c r="I18">
        <v>0</v>
      </c>
      <c r="J18">
        <v>1250</v>
      </c>
      <c r="K18">
        <v>908.08</v>
      </c>
      <c r="L18">
        <v>341.92</v>
      </c>
      <c r="M18" t="s">
        <v>63</v>
      </c>
    </row>
    <row r="19" spans="1:13" x14ac:dyDescent="0.25">
      <c r="A19" t="s">
        <v>607</v>
      </c>
      <c r="B19" s="6">
        <v>46109</v>
      </c>
      <c r="C19" t="s">
        <v>217</v>
      </c>
      <c r="D19" t="s">
        <v>68</v>
      </c>
      <c r="E19" t="s">
        <v>16</v>
      </c>
      <c r="F19" t="s">
        <v>17</v>
      </c>
      <c r="G19">
        <v>4</v>
      </c>
      <c r="H19">
        <v>37050</v>
      </c>
      <c r="I19">
        <v>5</v>
      </c>
      <c r="J19">
        <v>140790</v>
      </c>
      <c r="K19">
        <v>106369.97</v>
      </c>
      <c r="L19">
        <v>34420.03</v>
      </c>
      <c r="M19" t="s">
        <v>63</v>
      </c>
    </row>
    <row r="20" spans="1:13" x14ac:dyDescent="0.25">
      <c r="A20" t="s">
        <v>76</v>
      </c>
      <c r="B20" s="6">
        <v>46295</v>
      </c>
      <c r="C20" t="s">
        <v>77</v>
      </c>
      <c r="D20" t="s">
        <v>68</v>
      </c>
      <c r="E20" t="s">
        <v>28</v>
      </c>
      <c r="F20" t="s">
        <v>78</v>
      </c>
      <c r="G20">
        <v>1</v>
      </c>
      <c r="H20">
        <v>1650</v>
      </c>
      <c r="I20">
        <v>15</v>
      </c>
      <c r="J20">
        <v>1402.5</v>
      </c>
      <c r="K20">
        <v>1080.3800000000001</v>
      </c>
      <c r="L20">
        <v>322.12</v>
      </c>
      <c r="M20" t="s">
        <v>63</v>
      </c>
    </row>
    <row r="21" spans="1:13" x14ac:dyDescent="0.25">
      <c r="A21" t="s">
        <v>604</v>
      </c>
      <c r="B21" s="6">
        <v>46122</v>
      </c>
      <c r="C21" t="s">
        <v>67</v>
      </c>
      <c r="D21" t="s">
        <v>15</v>
      </c>
      <c r="E21" t="s">
        <v>22</v>
      </c>
      <c r="F21" t="s">
        <v>23</v>
      </c>
      <c r="G21">
        <v>5</v>
      </c>
      <c r="H21">
        <v>2600</v>
      </c>
      <c r="I21">
        <v>20</v>
      </c>
      <c r="J21">
        <v>10400</v>
      </c>
      <c r="K21">
        <v>5919.97</v>
      </c>
      <c r="L21">
        <v>4480.03</v>
      </c>
      <c r="M21" t="s">
        <v>63</v>
      </c>
    </row>
    <row r="22" spans="1:13" x14ac:dyDescent="0.25">
      <c r="A22" t="s">
        <v>599</v>
      </c>
      <c r="B22" s="6">
        <v>46186</v>
      </c>
      <c r="C22" t="s">
        <v>385</v>
      </c>
      <c r="D22" t="s">
        <v>75</v>
      </c>
      <c r="E22" t="s">
        <v>28</v>
      </c>
      <c r="F22" t="s">
        <v>49</v>
      </c>
      <c r="G22">
        <v>1</v>
      </c>
      <c r="H22">
        <v>1800</v>
      </c>
      <c r="I22">
        <v>20</v>
      </c>
      <c r="J22">
        <v>1440</v>
      </c>
      <c r="K22">
        <v>949.11</v>
      </c>
      <c r="L22">
        <v>490.89</v>
      </c>
      <c r="M22" t="s">
        <v>63</v>
      </c>
    </row>
    <row r="23" spans="1:13" x14ac:dyDescent="0.25">
      <c r="A23" t="s">
        <v>594</v>
      </c>
      <c r="B23" s="6">
        <v>46179</v>
      </c>
      <c r="C23" t="s">
        <v>198</v>
      </c>
      <c r="D23" t="s">
        <v>27</v>
      </c>
      <c r="E23" t="s">
        <v>55</v>
      </c>
      <c r="F23" t="s">
        <v>179</v>
      </c>
      <c r="G23">
        <v>1</v>
      </c>
      <c r="H23">
        <v>4150</v>
      </c>
      <c r="I23">
        <v>10</v>
      </c>
      <c r="J23">
        <v>3735</v>
      </c>
      <c r="K23">
        <v>2667.73</v>
      </c>
      <c r="L23">
        <v>1067.27</v>
      </c>
      <c r="M23" t="s">
        <v>63</v>
      </c>
    </row>
    <row r="24" spans="1:13" x14ac:dyDescent="0.25">
      <c r="A24" t="s">
        <v>585</v>
      </c>
      <c r="B24" s="6">
        <v>46192</v>
      </c>
      <c r="C24" t="s">
        <v>430</v>
      </c>
      <c r="D24" t="s">
        <v>75</v>
      </c>
      <c r="E24" t="s">
        <v>22</v>
      </c>
      <c r="F24" t="s">
        <v>95</v>
      </c>
      <c r="G24">
        <v>5</v>
      </c>
      <c r="H24">
        <v>2700</v>
      </c>
      <c r="I24">
        <v>15</v>
      </c>
      <c r="J24">
        <v>11475</v>
      </c>
      <c r="K24">
        <v>6431.41</v>
      </c>
      <c r="L24">
        <v>5043.59</v>
      </c>
      <c r="M24" t="s">
        <v>63</v>
      </c>
    </row>
    <row r="25" spans="1:13" x14ac:dyDescent="0.25">
      <c r="A25" t="s">
        <v>88</v>
      </c>
      <c r="B25" s="6">
        <v>46120</v>
      </c>
      <c r="C25" t="s">
        <v>89</v>
      </c>
      <c r="D25" t="s">
        <v>15</v>
      </c>
      <c r="E25" t="s">
        <v>28</v>
      </c>
      <c r="F25" t="s">
        <v>86</v>
      </c>
      <c r="G25">
        <v>4</v>
      </c>
      <c r="H25">
        <v>650</v>
      </c>
      <c r="I25">
        <v>15</v>
      </c>
      <c r="J25">
        <v>2210</v>
      </c>
      <c r="K25">
        <v>1697.33</v>
      </c>
      <c r="L25">
        <v>512.66999999999996</v>
      </c>
      <c r="M25" t="s">
        <v>63</v>
      </c>
    </row>
    <row r="26" spans="1:13" x14ac:dyDescent="0.25">
      <c r="A26" t="s">
        <v>90</v>
      </c>
      <c r="B26" s="6">
        <v>46353</v>
      </c>
      <c r="C26" t="s">
        <v>91</v>
      </c>
      <c r="D26" t="s">
        <v>75</v>
      </c>
      <c r="E26" t="s">
        <v>34</v>
      </c>
      <c r="F26" t="s">
        <v>69</v>
      </c>
      <c r="G26">
        <v>4</v>
      </c>
      <c r="H26">
        <v>4200</v>
      </c>
      <c r="I26">
        <v>0</v>
      </c>
      <c r="J26">
        <v>16800</v>
      </c>
      <c r="K26">
        <v>12294.38</v>
      </c>
      <c r="L26">
        <v>4505.62</v>
      </c>
      <c r="M26" t="s">
        <v>63</v>
      </c>
    </row>
    <row r="27" spans="1:13" x14ac:dyDescent="0.25">
      <c r="A27" t="s">
        <v>578</v>
      </c>
      <c r="B27" s="6">
        <v>46369</v>
      </c>
      <c r="C27" t="s">
        <v>579</v>
      </c>
      <c r="D27" t="s">
        <v>15</v>
      </c>
      <c r="E27" t="s">
        <v>22</v>
      </c>
      <c r="F27" t="s">
        <v>23</v>
      </c>
      <c r="G27">
        <v>5</v>
      </c>
      <c r="H27">
        <v>2550</v>
      </c>
      <c r="I27">
        <v>20</v>
      </c>
      <c r="J27">
        <v>10200</v>
      </c>
      <c r="K27">
        <v>7814.44</v>
      </c>
      <c r="L27">
        <v>2385.56</v>
      </c>
      <c r="M27" t="s">
        <v>63</v>
      </c>
    </row>
    <row r="28" spans="1:13" x14ac:dyDescent="0.25">
      <c r="A28" t="s">
        <v>573</v>
      </c>
      <c r="B28" s="6">
        <v>46082</v>
      </c>
      <c r="C28" t="s">
        <v>489</v>
      </c>
      <c r="D28" t="s">
        <v>27</v>
      </c>
      <c r="E28" t="s">
        <v>16</v>
      </c>
      <c r="F28" t="s">
        <v>107</v>
      </c>
      <c r="G28">
        <v>2</v>
      </c>
      <c r="H28">
        <v>39450</v>
      </c>
      <c r="I28">
        <v>0</v>
      </c>
      <c r="J28">
        <v>78900</v>
      </c>
      <c r="K28">
        <v>53483.48</v>
      </c>
      <c r="L28">
        <v>25416.52</v>
      </c>
      <c r="M28" t="s">
        <v>63</v>
      </c>
    </row>
    <row r="29" spans="1:13" x14ac:dyDescent="0.25">
      <c r="A29" t="s">
        <v>96</v>
      </c>
      <c r="B29" s="6">
        <v>46228</v>
      </c>
      <c r="C29" t="s">
        <v>85</v>
      </c>
      <c r="D29" t="s">
        <v>68</v>
      </c>
      <c r="E29" t="s">
        <v>55</v>
      </c>
      <c r="F29" t="s">
        <v>97</v>
      </c>
      <c r="G29">
        <v>4</v>
      </c>
      <c r="H29">
        <v>8450</v>
      </c>
      <c r="I29">
        <v>15</v>
      </c>
      <c r="J29">
        <v>28730</v>
      </c>
      <c r="K29">
        <v>17459.560000000001</v>
      </c>
      <c r="L29">
        <v>11270.44</v>
      </c>
      <c r="M29" t="s">
        <v>63</v>
      </c>
    </row>
    <row r="30" spans="1:13" x14ac:dyDescent="0.25">
      <c r="A30" t="s">
        <v>569</v>
      </c>
      <c r="B30" s="6">
        <v>46357</v>
      </c>
      <c r="C30" t="s">
        <v>323</v>
      </c>
      <c r="D30" t="s">
        <v>52</v>
      </c>
      <c r="E30" t="s">
        <v>34</v>
      </c>
      <c r="F30" t="s">
        <v>60</v>
      </c>
      <c r="G30">
        <v>5</v>
      </c>
      <c r="H30">
        <v>4350</v>
      </c>
      <c r="I30">
        <v>0</v>
      </c>
      <c r="J30">
        <v>21750</v>
      </c>
      <c r="K30">
        <v>14495.45</v>
      </c>
      <c r="L30">
        <v>7254.55</v>
      </c>
      <c r="M30" t="s">
        <v>63</v>
      </c>
    </row>
    <row r="31" spans="1:13" x14ac:dyDescent="0.25">
      <c r="A31" t="s">
        <v>565</v>
      </c>
      <c r="B31" s="6">
        <v>46078</v>
      </c>
      <c r="C31" t="s">
        <v>138</v>
      </c>
      <c r="D31" t="s">
        <v>75</v>
      </c>
      <c r="E31" t="s">
        <v>34</v>
      </c>
      <c r="F31" t="s">
        <v>35</v>
      </c>
      <c r="G31">
        <v>2</v>
      </c>
      <c r="H31">
        <v>950</v>
      </c>
      <c r="I31">
        <v>10</v>
      </c>
      <c r="J31">
        <v>1710</v>
      </c>
      <c r="K31">
        <v>1059</v>
      </c>
      <c r="L31">
        <v>651</v>
      </c>
      <c r="M31" t="s">
        <v>63</v>
      </c>
    </row>
    <row r="32" spans="1:13" x14ac:dyDescent="0.25">
      <c r="A32" t="s">
        <v>560</v>
      </c>
      <c r="B32" s="6">
        <v>46092</v>
      </c>
      <c r="C32" t="s">
        <v>26</v>
      </c>
      <c r="D32" t="s">
        <v>27</v>
      </c>
      <c r="E32" t="s">
        <v>16</v>
      </c>
      <c r="F32" t="s">
        <v>72</v>
      </c>
      <c r="G32">
        <v>4</v>
      </c>
      <c r="H32">
        <v>14450</v>
      </c>
      <c r="I32">
        <v>10</v>
      </c>
      <c r="J32">
        <v>52020</v>
      </c>
      <c r="K32">
        <v>32849.410000000003</v>
      </c>
      <c r="L32">
        <v>19170.59</v>
      </c>
      <c r="M32" t="s">
        <v>63</v>
      </c>
    </row>
    <row r="33" spans="1:13" x14ac:dyDescent="0.25">
      <c r="A33" t="s">
        <v>550</v>
      </c>
      <c r="B33" s="6">
        <v>46338</v>
      </c>
      <c r="C33" t="s">
        <v>181</v>
      </c>
      <c r="D33" t="s">
        <v>44</v>
      </c>
      <c r="E33" t="s">
        <v>34</v>
      </c>
      <c r="F33" t="s">
        <v>116</v>
      </c>
      <c r="G33">
        <v>4</v>
      </c>
      <c r="H33">
        <v>1600</v>
      </c>
      <c r="I33">
        <v>0</v>
      </c>
      <c r="J33">
        <v>6400</v>
      </c>
      <c r="K33">
        <v>4581.18</v>
      </c>
      <c r="L33">
        <v>1818.82</v>
      </c>
      <c r="M33" t="s">
        <v>63</v>
      </c>
    </row>
    <row r="34" spans="1:13" x14ac:dyDescent="0.25">
      <c r="A34" t="s">
        <v>546</v>
      </c>
      <c r="B34" s="6">
        <v>46136</v>
      </c>
      <c r="C34" t="s">
        <v>272</v>
      </c>
      <c r="D34" t="s">
        <v>80</v>
      </c>
      <c r="E34" t="s">
        <v>16</v>
      </c>
      <c r="F34" t="s">
        <v>45</v>
      </c>
      <c r="G34">
        <v>1</v>
      </c>
      <c r="H34">
        <v>19500</v>
      </c>
      <c r="I34">
        <v>0</v>
      </c>
      <c r="J34">
        <v>19500</v>
      </c>
      <c r="K34">
        <v>10787.95</v>
      </c>
      <c r="L34">
        <v>8712.0499999999993</v>
      </c>
      <c r="M34" t="s">
        <v>63</v>
      </c>
    </row>
    <row r="35" spans="1:13" x14ac:dyDescent="0.25">
      <c r="A35" t="s">
        <v>523</v>
      </c>
      <c r="B35" s="6">
        <v>46323</v>
      </c>
      <c r="C35" t="s">
        <v>82</v>
      </c>
      <c r="D35" t="s">
        <v>44</v>
      </c>
      <c r="E35" t="s">
        <v>16</v>
      </c>
      <c r="F35" t="s">
        <v>240</v>
      </c>
      <c r="G35">
        <v>2</v>
      </c>
      <c r="H35">
        <v>21550</v>
      </c>
      <c r="I35">
        <v>20</v>
      </c>
      <c r="J35">
        <v>34480</v>
      </c>
      <c r="K35">
        <v>22005.91</v>
      </c>
      <c r="L35">
        <v>12474.09</v>
      </c>
      <c r="M35" t="s">
        <v>63</v>
      </c>
    </row>
    <row r="36" spans="1:13" x14ac:dyDescent="0.25">
      <c r="A36" t="s">
        <v>517</v>
      </c>
      <c r="B36" s="6">
        <v>46050</v>
      </c>
      <c r="C36" t="s">
        <v>74</v>
      </c>
      <c r="D36" t="s">
        <v>59</v>
      </c>
      <c r="E36" t="s">
        <v>28</v>
      </c>
      <c r="F36" t="s">
        <v>86</v>
      </c>
      <c r="G36">
        <v>2</v>
      </c>
      <c r="H36">
        <v>1700</v>
      </c>
      <c r="I36">
        <v>15</v>
      </c>
      <c r="J36">
        <v>2890</v>
      </c>
      <c r="K36">
        <v>1820.11</v>
      </c>
      <c r="L36">
        <v>1069.8900000000001</v>
      </c>
      <c r="M36" t="s">
        <v>63</v>
      </c>
    </row>
    <row r="37" spans="1:13" x14ac:dyDescent="0.25">
      <c r="A37" t="s">
        <v>510</v>
      </c>
      <c r="B37" s="6">
        <v>46379</v>
      </c>
      <c r="C37" t="s">
        <v>511</v>
      </c>
      <c r="D37" t="s">
        <v>15</v>
      </c>
      <c r="E37" t="s">
        <v>55</v>
      </c>
      <c r="F37" t="s">
        <v>179</v>
      </c>
      <c r="G37">
        <v>2</v>
      </c>
      <c r="H37">
        <v>9000</v>
      </c>
      <c r="I37">
        <v>15</v>
      </c>
      <c r="J37">
        <v>15300</v>
      </c>
      <c r="K37">
        <v>8453.36</v>
      </c>
      <c r="L37">
        <v>6846.64</v>
      </c>
      <c r="M37" t="s">
        <v>63</v>
      </c>
    </row>
    <row r="38" spans="1:13" x14ac:dyDescent="0.25">
      <c r="A38" t="s">
        <v>508</v>
      </c>
      <c r="B38" s="6">
        <v>46355</v>
      </c>
      <c r="C38" t="s">
        <v>323</v>
      </c>
      <c r="D38" t="s">
        <v>75</v>
      </c>
      <c r="E38" t="s">
        <v>34</v>
      </c>
      <c r="F38" t="s">
        <v>38</v>
      </c>
      <c r="G38">
        <v>3</v>
      </c>
      <c r="H38">
        <v>2450</v>
      </c>
      <c r="I38">
        <v>0</v>
      </c>
      <c r="J38">
        <v>7350</v>
      </c>
      <c r="K38">
        <v>4780.42</v>
      </c>
      <c r="L38">
        <v>2569.58</v>
      </c>
      <c r="M38" t="s">
        <v>63</v>
      </c>
    </row>
    <row r="39" spans="1:13" x14ac:dyDescent="0.25">
      <c r="A39" t="s">
        <v>119</v>
      </c>
      <c r="B39" s="6">
        <v>46151</v>
      </c>
      <c r="C39" t="s">
        <v>120</v>
      </c>
      <c r="D39" t="s">
        <v>15</v>
      </c>
      <c r="E39" t="s">
        <v>28</v>
      </c>
      <c r="F39" t="s">
        <v>49</v>
      </c>
      <c r="G39">
        <v>3</v>
      </c>
      <c r="H39">
        <v>550</v>
      </c>
      <c r="I39">
        <v>10</v>
      </c>
      <c r="J39">
        <v>1485</v>
      </c>
      <c r="K39">
        <v>1019.39</v>
      </c>
      <c r="L39">
        <v>465.61</v>
      </c>
      <c r="M39" t="s">
        <v>63</v>
      </c>
    </row>
    <row r="40" spans="1:13" x14ac:dyDescent="0.25">
      <c r="A40" t="s">
        <v>502</v>
      </c>
      <c r="B40" s="6">
        <v>46344</v>
      </c>
      <c r="C40" t="s">
        <v>160</v>
      </c>
      <c r="D40" t="s">
        <v>27</v>
      </c>
      <c r="E40" t="s">
        <v>55</v>
      </c>
      <c r="F40" t="s">
        <v>56</v>
      </c>
      <c r="G40">
        <v>4</v>
      </c>
      <c r="H40">
        <v>2850</v>
      </c>
      <c r="I40">
        <v>20</v>
      </c>
      <c r="J40">
        <v>9120</v>
      </c>
      <c r="K40">
        <v>6573.23</v>
      </c>
      <c r="L40">
        <v>2546.77</v>
      </c>
      <c r="M40" t="s">
        <v>63</v>
      </c>
    </row>
    <row r="41" spans="1:13" x14ac:dyDescent="0.25">
      <c r="A41" t="s">
        <v>497</v>
      </c>
      <c r="B41" s="6">
        <v>46324</v>
      </c>
      <c r="C41" t="s">
        <v>113</v>
      </c>
      <c r="D41" t="s">
        <v>52</v>
      </c>
      <c r="E41" t="s">
        <v>16</v>
      </c>
      <c r="F41" t="s">
        <v>45</v>
      </c>
      <c r="G41">
        <v>1</v>
      </c>
      <c r="H41">
        <v>32250</v>
      </c>
      <c r="I41">
        <v>5</v>
      </c>
      <c r="J41">
        <v>30637.5</v>
      </c>
      <c r="K41">
        <v>23556.86</v>
      </c>
      <c r="L41">
        <v>7080.64</v>
      </c>
      <c r="M41" t="s">
        <v>63</v>
      </c>
    </row>
    <row r="42" spans="1:13" x14ac:dyDescent="0.25">
      <c r="A42" t="s">
        <v>495</v>
      </c>
      <c r="B42" s="6">
        <v>46210</v>
      </c>
      <c r="C42" t="s">
        <v>71</v>
      </c>
      <c r="D42" t="s">
        <v>75</v>
      </c>
      <c r="E42" t="s">
        <v>28</v>
      </c>
      <c r="F42" t="s">
        <v>78</v>
      </c>
      <c r="G42">
        <v>5</v>
      </c>
      <c r="H42">
        <v>400</v>
      </c>
      <c r="I42">
        <v>10</v>
      </c>
      <c r="J42">
        <v>1800</v>
      </c>
      <c r="K42">
        <v>1366.7</v>
      </c>
      <c r="L42">
        <v>433.3</v>
      </c>
      <c r="M42" t="s">
        <v>63</v>
      </c>
    </row>
    <row r="43" spans="1:13" x14ac:dyDescent="0.25">
      <c r="A43" t="s">
        <v>492</v>
      </c>
      <c r="B43" s="6">
        <v>46219</v>
      </c>
      <c r="C43" t="s">
        <v>288</v>
      </c>
      <c r="D43" t="s">
        <v>21</v>
      </c>
      <c r="E43" t="s">
        <v>28</v>
      </c>
      <c r="F43" t="s">
        <v>78</v>
      </c>
      <c r="G43">
        <v>3</v>
      </c>
      <c r="H43">
        <v>150</v>
      </c>
      <c r="I43">
        <v>15</v>
      </c>
      <c r="J43">
        <v>382.5</v>
      </c>
      <c r="K43">
        <v>224.48</v>
      </c>
      <c r="L43">
        <v>158.02000000000001</v>
      </c>
      <c r="M43" t="s">
        <v>63</v>
      </c>
    </row>
    <row r="44" spans="1:13" x14ac:dyDescent="0.25">
      <c r="A44" t="s">
        <v>491</v>
      </c>
      <c r="B44" s="6">
        <v>46094</v>
      </c>
      <c r="C44" t="s">
        <v>103</v>
      </c>
      <c r="D44" t="s">
        <v>33</v>
      </c>
      <c r="E44" t="s">
        <v>22</v>
      </c>
      <c r="F44" t="s">
        <v>104</v>
      </c>
      <c r="G44">
        <v>2</v>
      </c>
      <c r="H44">
        <v>2450</v>
      </c>
      <c r="I44">
        <v>5</v>
      </c>
      <c r="J44">
        <v>4655</v>
      </c>
      <c r="K44">
        <v>3175.66</v>
      </c>
      <c r="L44">
        <v>1479.34</v>
      </c>
      <c r="M44" t="s">
        <v>63</v>
      </c>
    </row>
    <row r="45" spans="1:13" x14ac:dyDescent="0.25">
      <c r="A45" t="s">
        <v>480</v>
      </c>
      <c r="B45" s="6">
        <v>46201</v>
      </c>
      <c r="C45" t="s">
        <v>276</v>
      </c>
      <c r="D45" t="s">
        <v>15</v>
      </c>
      <c r="E45" t="s">
        <v>34</v>
      </c>
      <c r="F45" t="s">
        <v>116</v>
      </c>
      <c r="G45">
        <v>3</v>
      </c>
      <c r="H45">
        <v>4150</v>
      </c>
      <c r="I45">
        <v>5</v>
      </c>
      <c r="J45">
        <v>11827.5</v>
      </c>
      <c r="K45">
        <v>8169.27</v>
      </c>
      <c r="L45">
        <v>3658.23</v>
      </c>
      <c r="M45" t="s">
        <v>63</v>
      </c>
    </row>
    <row r="46" spans="1:13" x14ac:dyDescent="0.25">
      <c r="A46" t="s">
        <v>467</v>
      </c>
      <c r="B46" s="6">
        <v>46191</v>
      </c>
      <c r="C46" t="s">
        <v>345</v>
      </c>
      <c r="D46" t="s">
        <v>33</v>
      </c>
      <c r="E46" t="s">
        <v>34</v>
      </c>
      <c r="F46" t="s">
        <v>38</v>
      </c>
      <c r="G46">
        <v>4</v>
      </c>
      <c r="H46">
        <v>3100</v>
      </c>
      <c r="I46">
        <v>20</v>
      </c>
      <c r="J46">
        <v>9920</v>
      </c>
      <c r="K46">
        <v>6473.5</v>
      </c>
      <c r="L46">
        <v>3446.5</v>
      </c>
      <c r="M46" t="s">
        <v>63</v>
      </c>
    </row>
    <row r="47" spans="1:13" x14ac:dyDescent="0.25">
      <c r="A47" t="s">
        <v>463</v>
      </c>
      <c r="B47" s="6">
        <v>46029</v>
      </c>
      <c r="C47" t="s">
        <v>40</v>
      </c>
      <c r="D47" t="s">
        <v>27</v>
      </c>
      <c r="E47" t="s">
        <v>28</v>
      </c>
      <c r="F47" t="s">
        <v>78</v>
      </c>
      <c r="G47">
        <v>5</v>
      </c>
      <c r="H47">
        <v>1350</v>
      </c>
      <c r="I47">
        <v>10</v>
      </c>
      <c r="J47">
        <v>6075</v>
      </c>
      <c r="K47">
        <v>4757.96</v>
      </c>
      <c r="L47">
        <v>1317.04</v>
      </c>
      <c r="M47" t="s">
        <v>63</v>
      </c>
    </row>
    <row r="48" spans="1:13" x14ac:dyDescent="0.25">
      <c r="A48" t="s">
        <v>456</v>
      </c>
      <c r="B48" s="6">
        <v>46222</v>
      </c>
      <c r="C48" t="s">
        <v>71</v>
      </c>
      <c r="D48" t="s">
        <v>33</v>
      </c>
      <c r="E48" t="s">
        <v>34</v>
      </c>
      <c r="F48" t="s">
        <v>35</v>
      </c>
      <c r="G48">
        <v>5</v>
      </c>
      <c r="H48">
        <v>2350</v>
      </c>
      <c r="I48">
        <v>20</v>
      </c>
      <c r="J48">
        <v>9400</v>
      </c>
      <c r="K48">
        <v>7288.34</v>
      </c>
      <c r="L48">
        <v>2111.66</v>
      </c>
      <c r="M48" t="s">
        <v>63</v>
      </c>
    </row>
    <row r="49" spans="1:13" x14ac:dyDescent="0.25">
      <c r="A49" t="s">
        <v>450</v>
      </c>
      <c r="B49" s="6">
        <v>46217</v>
      </c>
      <c r="C49" t="s">
        <v>234</v>
      </c>
      <c r="D49" t="s">
        <v>21</v>
      </c>
      <c r="E49" t="s">
        <v>55</v>
      </c>
      <c r="F49" t="s">
        <v>141</v>
      </c>
      <c r="G49">
        <v>1</v>
      </c>
      <c r="H49">
        <v>11200</v>
      </c>
      <c r="I49">
        <v>0</v>
      </c>
      <c r="J49">
        <v>11200</v>
      </c>
      <c r="K49">
        <v>6442.75</v>
      </c>
      <c r="L49">
        <v>4757.25</v>
      </c>
      <c r="M49" t="s">
        <v>63</v>
      </c>
    </row>
    <row r="50" spans="1:13" x14ac:dyDescent="0.25">
      <c r="A50" t="s">
        <v>441</v>
      </c>
      <c r="B50" s="6">
        <v>46217</v>
      </c>
      <c r="C50" t="s">
        <v>188</v>
      </c>
      <c r="D50" t="s">
        <v>80</v>
      </c>
      <c r="E50" t="s">
        <v>28</v>
      </c>
      <c r="F50" t="s">
        <v>29</v>
      </c>
      <c r="G50">
        <v>3</v>
      </c>
      <c r="H50">
        <v>450</v>
      </c>
      <c r="I50">
        <v>5</v>
      </c>
      <c r="J50">
        <v>1282.5</v>
      </c>
      <c r="K50">
        <v>819.6</v>
      </c>
      <c r="L50">
        <v>462.9</v>
      </c>
      <c r="M50" t="s">
        <v>63</v>
      </c>
    </row>
    <row r="51" spans="1:13" x14ac:dyDescent="0.25">
      <c r="A51" t="s">
        <v>436</v>
      </c>
      <c r="B51" s="6">
        <v>46323</v>
      </c>
      <c r="C51" t="s">
        <v>288</v>
      </c>
      <c r="D51" t="s">
        <v>80</v>
      </c>
      <c r="E51" t="s">
        <v>28</v>
      </c>
      <c r="F51" t="s">
        <v>86</v>
      </c>
      <c r="G51">
        <v>1</v>
      </c>
      <c r="H51">
        <v>300</v>
      </c>
      <c r="I51">
        <v>5</v>
      </c>
      <c r="J51">
        <v>285</v>
      </c>
      <c r="K51">
        <v>218.67</v>
      </c>
      <c r="L51">
        <v>66.33</v>
      </c>
      <c r="M51" t="s">
        <v>63</v>
      </c>
    </row>
    <row r="52" spans="1:13" x14ac:dyDescent="0.25">
      <c r="A52" t="s">
        <v>144</v>
      </c>
      <c r="B52" s="6">
        <v>46178</v>
      </c>
      <c r="C52" t="s">
        <v>145</v>
      </c>
      <c r="D52" t="s">
        <v>80</v>
      </c>
      <c r="E52" t="s">
        <v>28</v>
      </c>
      <c r="F52" t="s">
        <v>86</v>
      </c>
      <c r="G52">
        <v>3</v>
      </c>
      <c r="H52">
        <v>1000</v>
      </c>
      <c r="I52">
        <v>20</v>
      </c>
      <c r="J52">
        <v>2400</v>
      </c>
      <c r="K52">
        <v>1860.25</v>
      </c>
      <c r="L52">
        <v>539.75</v>
      </c>
      <c r="M52" t="s">
        <v>63</v>
      </c>
    </row>
    <row r="53" spans="1:13" x14ac:dyDescent="0.25">
      <c r="A53" t="s">
        <v>435</v>
      </c>
      <c r="B53" s="6">
        <v>46120</v>
      </c>
      <c r="C53" t="s">
        <v>120</v>
      </c>
      <c r="D53" t="s">
        <v>44</v>
      </c>
      <c r="E53" t="s">
        <v>34</v>
      </c>
      <c r="F53" t="s">
        <v>38</v>
      </c>
      <c r="G53">
        <v>4</v>
      </c>
      <c r="H53">
        <v>3450</v>
      </c>
      <c r="I53">
        <v>0</v>
      </c>
      <c r="J53">
        <v>13800</v>
      </c>
      <c r="K53">
        <v>9585.7800000000007</v>
      </c>
      <c r="L53">
        <v>4214.22</v>
      </c>
      <c r="M53" t="s">
        <v>63</v>
      </c>
    </row>
    <row r="54" spans="1:13" x14ac:dyDescent="0.25">
      <c r="A54" t="s">
        <v>433</v>
      </c>
      <c r="B54" s="6">
        <v>46138</v>
      </c>
      <c r="C54" t="s">
        <v>404</v>
      </c>
      <c r="D54" t="s">
        <v>68</v>
      </c>
      <c r="E54" t="s">
        <v>34</v>
      </c>
      <c r="F54" t="s">
        <v>69</v>
      </c>
      <c r="G54">
        <v>2</v>
      </c>
      <c r="H54">
        <v>4800</v>
      </c>
      <c r="I54">
        <v>15</v>
      </c>
      <c r="J54">
        <v>8160</v>
      </c>
      <c r="K54">
        <v>5018.8999999999996</v>
      </c>
      <c r="L54">
        <v>3141.1</v>
      </c>
      <c r="M54" t="s">
        <v>63</v>
      </c>
    </row>
    <row r="55" spans="1:13" x14ac:dyDescent="0.25">
      <c r="A55" t="s">
        <v>424</v>
      </c>
      <c r="B55" s="6">
        <v>46301</v>
      </c>
      <c r="C55" t="s">
        <v>93</v>
      </c>
      <c r="D55" t="s">
        <v>21</v>
      </c>
      <c r="E55" t="s">
        <v>55</v>
      </c>
      <c r="F55" t="s">
        <v>132</v>
      </c>
      <c r="G55">
        <v>1</v>
      </c>
      <c r="H55">
        <v>5400</v>
      </c>
      <c r="I55">
        <v>15</v>
      </c>
      <c r="J55">
        <v>4590</v>
      </c>
      <c r="K55">
        <v>3359.17</v>
      </c>
      <c r="L55">
        <v>1230.83</v>
      </c>
      <c r="M55" t="s">
        <v>63</v>
      </c>
    </row>
    <row r="56" spans="1:13" x14ac:dyDescent="0.25">
      <c r="A56" t="s">
        <v>151</v>
      </c>
      <c r="B56" s="6">
        <v>46375</v>
      </c>
      <c r="C56" t="s">
        <v>152</v>
      </c>
      <c r="D56" t="s">
        <v>15</v>
      </c>
      <c r="E56" t="s">
        <v>55</v>
      </c>
      <c r="F56" t="s">
        <v>56</v>
      </c>
      <c r="G56">
        <v>4</v>
      </c>
      <c r="H56">
        <v>7050</v>
      </c>
      <c r="I56">
        <v>5</v>
      </c>
      <c r="J56">
        <v>26790</v>
      </c>
      <c r="K56">
        <v>15801.93</v>
      </c>
      <c r="L56">
        <v>10988.07</v>
      </c>
      <c r="M56" t="s">
        <v>63</v>
      </c>
    </row>
    <row r="57" spans="1:13" x14ac:dyDescent="0.25">
      <c r="A57" t="s">
        <v>153</v>
      </c>
      <c r="B57" s="6">
        <v>46085</v>
      </c>
      <c r="C57" t="s">
        <v>150</v>
      </c>
      <c r="D57" t="s">
        <v>68</v>
      </c>
      <c r="E57" t="s">
        <v>55</v>
      </c>
      <c r="F57" t="s">
        <v>97</v>
      </c>
      <c r="G57">
        <v>5</v>
      </c>
      <c r="H57">
        <v>8100</v>
      </c>
      <c r="I57">
        <v>0</v>
      </c>
      <c r="J57">
        <v>40500</v>
      </c>
      <c r="K57">
        <v>28370.23</v>
      </c>
      <c r="L57">
        <v>12129.77</v>
      </c>
      <c r="M57" t="s">
        <v>63</v>
      </c>
    </row>
    <row r="58" spans="1:13" x14ac:dyDescent="0.25">
      <c r="A58" t="s">
        <v>154</v>
      </c>
      <c r="B58" s="6">
        <v>46281</v>
      </c>
      <c r="C58" t="s">
        <v>155</v>
      </c>
      <c r="D58" t="s">
        <v>21</v>
      </c>
      <c r="E58" t="s">
        <v>28</v>
      </c>
      <c r="F58" t="s">
        <v>86</v>
      </c>
      <c r="G58">
        <v>5</v>
      </c>
      <c r="H58">
        <v>800</v>
      </c>
      <c r="I58">
        <v>15</v>
      </c>
      <c r="J58">
        <v>3400</v>
      </c>
      <c r="K58">
        <v>2432.41</v>
      </c>
      <c r="L58">
        <v>967.59</v>
      </c>
      <c r="M58" t="s">
        <v>63</v>
      </c>
    </row>
    <row r="59" spans="1:13" x14ac:dyDescent="0.25">
      <c r="A59" t="s">
        <v>422</v>
      </c>
      <c r="B59" s="6">
        <v>46218</v>
      </c>
      <c r="C59" t="s">
        <v>355</v>
      </c>
      <c r="D59" t="s">
        <v>27</v>
      </c>
      <c r="E59" t="s">
        <v>22</v>
      </c>
      <c r="F59" t="s">
        <v>95</v>
      </c>
      <c r="G59">
        <v>2</v>
      </c>
      <c r="H59">
        <v>3350</v>
      </c>
      <c r="I59">
        <v>15</v>
      </c>
      <c r="J59">
        <v>5695</v>
      </c>
      <c r="K59">
        <v>3708.04</v>
      </c>
      <c r="L59">
        <v>1986.96</v>
      </c>
      <c r="M59" t="s">
        <v>63</v>
      </c>
    </row>
    <row r="60" spans="1:13" x14ac:dyDescent="0.25">
      <c r="A60" t="s">
        <v>417</v>
      </c>
      <c r="B60" s="6">
        <v>46371</v>
      </c>
      <c r="C60" t="s">
        <v>418</v>
      </c>
      <c r="D60" t="s">
        <v>52</v>
      </c>
      <c r="E60" t="s">
        <v>28</v>
      </c>
      <c r="F60" t="s">
        <v>49</v>
      </c>
      <c r="G60">
        <v>2</v>
      </c>
      <c r="H60">
        <v>800</v>
      </c>
      <c r="I60">
        <v>20</v>
      </c>
      <c r="J60">
        <v>1280</v>
      </c>
      <c r="K60">
        <v>856.7</v>
      </c>
      <c r="L60">
        <v>423.3</v>
      </c>
      <c r="M60" t="s">
        <v>63</v>
      </c>
    </row>
    <row r="61" spans="1:13" x14ac:dyDescent="0.25">
      <c r="A61" t="s">
        <v>415</v>
      </c>
      <c r="B61" s="6">
        <v>46328</v>
      </c>
      <c r="C61" t="s">
        <v>37</v>
      </c>
      <c r="D61" t="s">
        <v>21</v>
      </c>
      <c r="E61" t="s">
        <v>22</v>
      </c>
      <c r="F61" t="s">
        <v>104</v>
      </c>
      <c r="G61">
        <v>2</v>
      </c>
      <c r="H61">
        <v>3300</v>
      </c>
      <c r="I61">
        <v>5</v>
      </c>
      <c r="J61">
        <v>6270</v>
      </c>
      <c r="K61">
        <v>4600.25</v>
      </c>
      <c r="L61">
        <v>1669.75</v>
      </c>
      <c r="M61" t="s">
        <v>63</v>
      </c>
    </row>
    <row r="62" spans="1:13" x14ac:dyDescent="0.25">
      <c r="A62" t="s">
        <v>409</v>
      </c>
      <c r="B62" s="6">
        <v>46286</v>
      </c>
      <c r="C62" t="s">
        <v>262</v>
      </c>
      <c r="D62" t="s">
        <v>15</v>
      </c>
      <c r="E62" t="s">
        <v>28</v>
      </c>
      <c r="F62" t="s">
        <v>49</v>
      </c>
      <c r="G62">
        <v>2</v>
      </c>
      <c r="H62">
        <v>1400</v>
      </c>
      <c r="I62">
        <v>15</v>
      </c>
      <c r="J62">
        <v>2380</v>
      </c>
      <c r="K62">
        <v>1840.42</v>
      </c>
      <c r="L62">
        <v>539.58000000000004</v>
      </c>
      <c r="M62" t="s">
        <v>63</v>
      </c>
    </row>
    <row r="63" spans="1:13" x14ac:dyDescent="0.25">
      <c r="A63" t="s">
        <v>396</v>
      </c>
      <c r="B63" s="6">
        <v>46316</v>
      </c>
      <c r="C63" t="s">
        <v>14</v>
      </c>
      <c r="D63" t="s">
        <v>27</v>
      </c>
      <c r="E63" t="s">
        <v>34</v>
      </c>
      <c r="F63" t="s">
        <v>69</v>
      </c>
      <c r="G63">
        <v>3</v>
      </c>
      <c r="H63">
        <v>5000</v>
      </c>
      <c r="I63">
        <v>10</v>
      </c>
      <c r="J63">
        <v>13500</v>
      </c>
      <c r="K63">
        <v>8473.99</v>
      </c>
      <c r="L63">
        <v>5026.01</v>
      </c>
      <c r="M63" t="s">
        <v>63</v>
      </c>
    </row>
    <row r="64" spans="1:13" x14ac:dyDescent="0.25">
      <c r="A64" t="s">
        <v>395</v>
      </c>
      <c r="B64" s="6">
        <v>46175</v>
      </c>
      <c r="C64" t="s">
        <v>145</v>
      </c>
      <c r="D64" t="s">
        <v>80</v>
      </c>
      <c r="E64" t="s">
        <v>55</v>
      </c>
      <c r="F64" t="s">
        <v>97</v>
      </c>
      <c r="G64">
        <v>3</v>
      </c>
      <c r="H64">
        <v>9650</v>
      </c>
      <c r="I64">
        <v>10</v>
      </c>
      <c r="J64">
        <v>26055</v>
      </c>
      <c r="K64">
        <v>15912.16</v>
      </c>
      <c r="L64">
        <v>10142.84</v>
      </c>
      <c r="M64" t="s">
        <v>63</v>
      </c>
    </row>
    <row r="65" spans="1:13" x14ac:dyDescent="0.25">
      <c r="A65" t="s">
        <v>394</v>
      </c>
      <c r="B65" s="6">
        <v>46369</v>
      </c>
      <c r="C65" t="s">
        <v>260</v>
      </c>
      <c r="D65" t="s">
        <v>52</v>
      </c>
      <c r="E65" t="s">
        <v>34</v>
      </c>
      <c r="F65" t="s">
        <v>35</v>
      </c>
      <c r="G65">
        <v>4</v>
      </c>
      <c r="H65">
        <v>4750</v>
      </c>
      <c r="I65">
        <v>10</v>
      </c>
      <c r="J65">
        <v>17100</v>
      </c>
      <c r="K65">
        <v>11927.14</v>
      </c>
      <c r="L65">
        <v>5172.8599999999997</v>
      </c>
      <c r="M65" t="s">
        <v>63</v>
      </c>
    </row>
    <row r="66" spans="1:13" x14ac:dyDescent="0.25">
      <c r="A66" t="s">
        <v>392</v>
      </c>
      <c r="B66" s="6">
        <v>46362</v>
      </c>
      <c r="C66" t="s">
        <v>393</v>
      </c>
      <c r="D66" t="s">
        <v>21</v>
      </c>
      <c r="E66" t="s">
        <v>16</v>
      </c>
      <c r="F66" t="s">
        <v>107</v>
      </c>
      <c r="G66">
        <v>5</v>
      </c>
      <c r="H66">
        <v>28400</v>
      </c>
      <c r="I66">
        <v>20</v>
      </c>
      <c r="J66">
        <v>113600</v>
      </c>
      <c r="K66">
        <v>72449.919999999998</v>
      </c>
      <c r="L66">
        <v>41150.080000000002</v>
      </c>
      <c r="M66" t="s">
        <v>63</v>
      </c>
    </row>
    <row r="67" spans="1:13" x14ac:dyDescent="0.25">
      <c r="A67" t="s">
        <v>391</v>
      </c>
      <c r="B67" s="6">
        <v>46233</v>
      </c>
      <c r="C67" t="s">
        <v>67</v>
      </c>
      <c r="D67" t="s">
        <v>52</v>
      </c>
      <c r="E67" t="s">
        <v>22</v>
      </c>
      <c r="F67" t="s">
        <v>83</v>
      </c>
      <c r="G67">
        <v>4</v>
      </c>
      <c r="H67">
        <v>800</v>
      </c>
      <c r="I67">
        <v>15</v>
      </c>
      <c r="J67">
        <v>2720</v>
      </c>
      <c r="K67">
        <v>2003.1</v>
      </c>
      <c r="L67">
        <v>716.9</v>
      </c>
      <c r="M67" t="s">
        <v>63</v>
      </c>
    </row>
    <row r="68" spans="1:13" x14ac:dyDescent="0.25">
      <c r="A68" t="s">
        <v>386</v>
      </c>
      <c r="B68" s="6">
        <v>46282</v>
      </c>
      <c r="C68" t="s">
        <v>58</v>
      </c>
      <c r="D68" t="s">
        <v>21</v>
      </c>
      <c r="E68" t="s">
        <v>34</v>
      </c>
      <c r="F68" t="s">
        <v>35</v>
      </c>
      <c r="G68">
        <v>4</v>
      </c>
      <c r="H68">
        <v>5450</v>
      </c>
      <c r="I68">
        <v>10</v>
      </c>
      <c r="J68">
        <v>19620</v>
      </c>
      <c r="K68">
        <v>13936.2</v>
      </c>
      <c r="L68">
        <v>5683.8</v>
      </c>
      <c r="M68" t="s">
        <v>63</v>
      </c>
    </row>
    <row r="69" spans="1:13" x14ac:dyDescent="0.25">
      <c r="A69" t="s">
        <v>379</v>
      </c>
      <c r="B69" s="6">
        <v>46060</v>
      </c>
      <c r="C69" t="s">
        <v>380</v>
      </c>
      <c r="D69" t="s">
        <v>21</v>
      </c>
      <c r="E69" t="s">
        <v>16</v>
      </c>
      <c r="F69" t="s">
        <v>240</v>
      </c>
      <c r="G69">
        <v>5</v>
      </c>
      <c r="H69">
        <v>26700</v>
      </c>
      <c r="I69">
        <v>10</v>
      </c>
      <c r="J69">
        <v>120150</v>
      </c>
      <c r="K69">
        <v>84029.33</v>
      </c>
      <c r="L69">
        <v>36120.67</v>
      </c>
      <c r="M69" t="s">
        <v>63</v>
      </c>
    </row>
    <row r="70" spans="1:13" x14ac:dyDescent="0.25">
      <c r="A70" t="s">
        <v>378</v>
      </c>
      <c r="B70" s="6">
        <v>46229</v>
      </c>
      <c r="C70" t="s">
        <v>126</v>
      </c>
      <c r="D70" t="s">
        <v>75</v>
      </c>
      <c r="E70" t="s">
        <v>16</v>
      </c>
      <c r="F70" t="s">
        <v>17</v>
      </c>
      <c r="G70">
        <v>4</v>
      </c>
      <c r="H70">
        <v>18750</v>
      </c>
      <c r="I70">
        <v>10</v>
      </c>
      <c r="J70">
        <v>67500</v>
      </c>
      <c r="K70">
        <v>50383.83</v>
      </c>
      <c r="L70">
        <v>17116.169999999998</v>
      </c>
      <c r="M70" t="s">
        <v>63</v>
      </c>
    </row>
    <row r="71" spans="1:13" x14ac:dyDescent="0.25">
      <c r="A71" t="s">
        <v>369</v>
      </c>
      <c r="B71" s="6">
        <v>46053</v>
      </c>
      <c r="C71" t="s">
        <v>26</v>
      </c>
      <c r="D71" t="s">
        <v>59</v>
      </c>
      <c r="E71" t="s">
        <v>22</v>
      </c>
      <c r="F71" t="s">
        <v>95</v>
      </c>
      <c r="G71">
        <v>4</v>
      </c>
      <c r="H71">
        <v>1400</v>
      </c>
      <c r="I71">
        <v>15</v>
      </c>
      <c r="J71">
        <v>4760</v>
      </c>
      <c r="K71">
        <v>2711.78</v>
      </c>
      <c r="L71">
        <v>2048.2199999999998</v>
      </c>
      <c r="M71" t="s">
        <v>63</v>
      </c>
    </row>
    <row r="72" spans="1:13" x14ac:dyDescent="0.25">
      <c r="A72" t="s">
        <v>362</v>
      </c>
      <c r="B72" s="6">
        <v>46305</v>
      </c>
      <c r="C72" t="s">
        <v>363</v>
      </c>
      <c r="D72" t="s">
        <v>68</v>
      </c>
      <c r="E72" t="s">
        <v>22</v>
      </c>
      <c r="F72" t="s">
        <v>165</v>
      </c>
      <c r="G72">
        <v>5</v>
      </c>
      <c r="H72">
        <v>1600</v>
      </c>
      <c r="I72">
        <v>5</v>
      </c>
      <c r="J72">
        <v>7600</v>
      </c>
      <c r="K72">
        <v>5981.57</v>
      </c>
      <c r="L72">
        <v>1618.43</v>
      </c>
      <c r="M72" t="s">
        <v>63</v>
      </c>
    </row>
    <row r="73" spans="1:13" x14ac:dyDescent="0.25">
      <c r="A73" t="s">
        <v>184</v>
      </c>
      <c r="B73" s="6">
        <v>46208</v>
      </c>
      <c r="C73" t="s">
        <v>185</v>
      </c>
      <c r="D73" t="s">
        <v>68</v>
      </c>
      <c r="E73" t="s">
        <v>34</v>
      </c>
      <c r="F73" t="s">
        <v>38</v>
      </c>
      <c r="G73">
        <v>4</v>
      </c>
      <c r="H73">
        <v>4400</v>
      </c>
      <c r="I73">
        <v>0</v>
      </c>
      <c r="J73">
        <v>17600</v>
      </c>
      <c r="K73">
        <v>11740.1</v>
      </c>
      <c r="L73">
        <v>5859.9</v>
      </c>
      <c r="M73" t="s">
        <v>63</v>
      </c>
    </row>
    <row r="74" spans="1:13" x14ac:dyDescent="0.25">
      <c r="A74" t="s">
        <v>360</v>
      </c>
      <c r="B74" s="6">
        <v>46067</v>
      </c>
      <c r="C74" t="s">
        <v>82</v>
      </c>
      <c r="D74" t="s">
        <v>44</v>
      </c>
      <c r="E74" t="s">
        <v>28</v>
      </c>
      <c r="F74" t="s">
        <v>41</v>
      </c>
      <c r="G74">
        <v>4</v>
      </c>
      <c r="H74">
        <v>1800</v>
      </c>
      <c r="I74">
        <v>20</v>
      </c>
      <c r="J74">
        <v>5760</v>
      </c>
      <c r="K74">
        <v>3369.82</v>
      </c>
      <c r="L74">
        <v>2390.1799999999998</v>
      </c>
      <c r="M74" t="s">
        <v>63</v>
      </c>
    </row>
    <row r="75" spans="1:13" x14ac:dyDescent="0.25">
      <c r="A75" t="s">
        <v>187</v>
      </c>
      <c r="B75" s="6">
        <v>46260</v>
      </c>
      <c r="C75" t="s">
        <v>188</v>
      </c>
      <c r="D75" t="s">
        <v>52</v>
      </c>
      <c r="E75" t="s">
        <v>34</v>
      </c>
      <c r="F75" t="s">
        <v>35</v>
      </c>
      <c r="G75">
        <v>1</v>
      </c>
      <c r="H75">
        <v>2700</v>
      </c>
      <c r="I75">
        <v>15</v>
      </c>
      <c r="J75">
        <v>2295</v>
      </c>
      <c r="K75">
        <v>1413.36</v>
      </c>
      <c r="L75">
        <v>881.64</v>
      </c>
      <c r="M75" t="s">
        <v>63</v>
      </c>
    </row>
    <row r="76" spans="1:13" x14ac:dyDescent="0.25">
      <c r="A76" t="s">
        <v>351</v>
      </c>
      <c r="B76" s="6">
        <v>46353</v>
      </c>
      <c r="C76" t="s">
        <v>126</v>
      </c>
      <c r="D76" t="s">
        <v>33</v>
      </c>
      <c r="E76" t="s">
        <v>28</v>
      </c>
      <c r="F76" t="s">
        <v>29</v>
      </c>
      <c r="G76">
        <v>1</v>
      </c>
      <c r="H76">
        <v>400</v>
      </c>
      <c r="I76">
        <v>0</v>
      </c>
      <c r="J76">
        <v>400</v>
      </c>
      <c r="K76">
        <v>245.49</v>
      </c>
      <c r="L76">
        <v>154.51</v>
      </c>
      <c r="M76" t="s">
        <v>63</v>
      </c>
    </row>
    <row r="77" spans="1:13" x14ac:dyDescent="0.25">
      <c r="A77" t="s">
        <v>191</v>
      </c>
      <c r="B77" s="6">
        <v>46066</v>
      </c>
      <c r="C77" t="s">
        <v>74</v>
      </c>
      <c r="D77" t="s">
        <v>27</v>
      </c>
      <c r="E77" t="s">
        <v>28</v>
      </c>
      <c r="F77" t="s">
        <v>41</v>
      </c>
      <c r="G77">
        <v>5</v>
      </c>
      <c r="H77">
        <v>150</v>
      </c>
      <c r="I77">
        <v>20</v>
      </c>
      <c r="J77">
        <v>600</v>
      </c>
      <c r="K77">
        <v>483.59</v>
      </c>
      <c r="L77">
        <v>116.41</v>
      </c>
      <c r="M77" t="s">
        <v>63</v>
      </c>
    </row>
    <row r="78" spans="1:13" x14ac:dyDescent="0.25">
      <c r="A78" t="s">
        <v>348</v>
      </c>
      <c r="B78" s="6">
        <v>46044</v>
      </c>
      <c r="C78" t="s">
        <v>349</v>
      </c>
      <c r="D78" t="s">
        <v>52</v>
      </c>
      <c r="E78" t="s">
        <v>28</v>
      </c>
      <c r="F78" t="s">
        <v>29</v>
      </c>
      <c r="G78">
        <v>2</v>
      </c>
      <c r="H78">
        <v>1550</v>
      </c>
      <c r="I78">
        <v>15</v>
      </c>
      <c r="J78">
        <v>2635</v>
      </c>
      <c r="K78">
        <v>1699.36</v>
      </c>
      <c r="L78">
        <v>935.64</v>
      </c>
      <c r="M78" t="s">
        <v>63</v>
      </c>
    </row>
    <row r="79" spans="1:13" x14ac:dyDescent="0.25">
      <c r="A79" t="s">
        <v>194</v>
      </c>
      <c r="B79" s="6">
        <v>46306</v>
      </c>
      <c r="C79" t="s">
        <v>115</v>
      </c>
      <c r="D79" t="s">
        <v>33</v>
      </c>
      <c r="E79" t="s">
        <v>22</v>
      </c>
      <c r="F79" t="s">
        <v>95</v>
      </c>
      <c r="G79">
        <v>3</v>
      </c>
      <c r="H79">
        <v>2900</v>
      </c>
      <c r="I79">
        <v>20</v>
      </c>
      <c r="J79">
        <v>6960</v>
      </c>
      <c r="K79">
        <v>4521.46</v>
      </c>
      <c r="L79">
        <v>2438.54</v>
      </c>
      <c r="M79" t="s">
        <v>63</v>
      </c>
    </row>
    <row r="80" spans="1:13" x14ac:dyDescent="0.25">
      <c r="A80" t="s">
        <v>347</v>
      </c>
      <c r="B80" s="6">
        <v>46190</v>
      </c>
      <c r="C80" t="s">
        <v>250</v>
      </c>
      <c r="D80" t="s">
        <v>44</v>
      </c>
      <c r="E80" t="s">
        <v>28</v>
      </c>
      <c r="F80" t="s">
        <v>49</v>
      </c>
      <c r="G80">
        <v>5</v>
      </c>
      <c r="H80">
        <v>750</v>
      </c>
      <c r="I80">
        <v>10</v>
      </c>
      <c r="J80">
        <v>3375</v>
      </c>
      <c r="K80">
        <v>1949.74</v>
      </c>
      <c r="L80">
        <v>1425.26</v>
      </c>
      <c r="M80" t="s">
        <v>63</v>
      </c>
    </row>
    <row r="81" spans="1:13" x14ac:dyDescent="0.25">
      <c r="A81" t="s">
        <v>346</v>
      </c>
      <c r="B81" s="6">
        <v>46065</v>
      </c>
      <c r="C81" t="s">
        <v>93</v>
      </c>
      <c r="D81" t="s">
        <v>15</v>
      </c>
      <c r="E81" t="s">
        <v>55</v>
      </c>
      <c r="F81" t="s">
        <v>56</v>
      </c>
      <c r="G81">
        <v>4</v>
      </c>
      <c r="H81">
        <v>6500</v>
      </c>
      <c r="I81">
        <v>20</v>
      </c>
      <c r="J81">
        <v>20800</v>
      </c>
      <c r="K81">
        <v>12937.9</v>
      </c>
      <c r="L81">
        <v>7862.1</v>
      </c>
      <c r="M81" t="s">
        <v>63</v>
      </c>
    </row>
    <row r="82" spans="1:13" x14ac:dyDescent="0.25">
      <c r="A82" t="s">
        <v>337</v>
      </c>
      <c r="B82" s="6">
        <v>46222</v>
      </c>
      <c r="C82" t="s">
        <v>332</v>
      </c>
      <c r="D82" t="s">
        <v>75</v>
      </c>
      <c r="E82" t="s">
        <v>16</v>
      </c>
      <c r="F82" t="s">
        <v>240</v>
      </c>
      <c r="G82">
        <v>5</v>
      </c>
      <c r="H82">
        <v>67700</v>
      </c>
      <c r="I82">
        <v>20</v>
      </c>
      <c r="J82">
        <v>270800</v>
      </c>
      <c r="K82">
        <v>189457.37</v>
      </c>
      <c r="L82">
        <v>81342.63</v>
      </c>
      <c r="M82" t="s">
        <v>63</v>
      </c>
    </row>
    <row r="83" spans="1:13" x14ac:dyDescent="0.25">
      <c r="A83" t="s">
        <v>328</v>
      </c>
      <c r="B83" s="6">
        <v>46036</v>
      </c>
      <c r="C83" t="s">
        <v>160</v>
      </c>
      <c r="D83" t="s">
        <v>75</v>
      </c>
      <c r="E83" t="s">
        <v>55</v>
      </c>
      <c r="F83" t="s">
        <v>56</v>
      </c>
      <c r="G83">
        <v>1</v>
      </c>
      <c r="H83">
        <v>4150</v>
      </c>
      <c r="I83">
        <v>15</v>
      </c>
      <c r="J83">
        <v>3527.5</v>
      </c>
      <c r="K83">
        <v>2782.67</v>
      </c>
      <c r="L83">
        <v>744.83</v>
      </c>
      <c r="M83" t="s">
        <v>63</v>
      </c>
    </row>
    <row r="84" spans="1:13" x14ac:dyDescent="0.25">
      <c r="A84" t="s">
        <v>303</v>
      </c>
      <c r="B84" s="6">
        <v>46228</v>
      </c>
      <c r="C84" t="s">
        <v>304</v>
      </c>
      <c r="D84" t="s">
        <v>15</v>
      </c>
      <c r="E84" t="s">
        <v>34</v>
      </c>
      <c r="F84" t="s">
        <v>38</v>
      </c>
      <c r="G84">
        <v>4</v>
      </c>
      <c r="H84">
        <v>1250</v>
      </c>
      <c r="I84">
        <v>5</v>
      </c>
      <c r="J84">
        <v>4750</v>
      </c>
      <c r="K84">
        <v>3171.26</v>
      </c>
      <c r="L84">
        <v>1578.74</v>
      </c>
      <c r="M84" t="s">
        <v>63</v>
      </c>
    </row>
    <row r="85" spans="1:13" x14ac:dyDescent="0.25">
      <c r="A85" t="s">
        <v>301</v>
      </c>
      <c r="B85" s="6">
        <v>46189</v>
      </c>
      <c r="C85" t="s">
        <v>302</v>
      </c>
      <c r="D85" t="s">
        <v>52</v>
      </c>
      <c r="E85" t="s">
        <v>28</v>
      </c>
      <c r="F85" t="s">
        <v>29</v>
      </c>
      <c r="G85">
        <v>4</v>
      </c>
      <c r="H85">
        <v>750</v>
      </c>
      <c r="I85">
        <v>0</v>
      </c>
      <c r="J85">
        <v>3000</v>
      </c>
      <c r="K85">
        <v>1978.08</v>
      </c>
      <c r="L85">
        <v>1021.92</v>
      </c>
      <c r="M85" t="s">
        <v>63</v>
      </c>
    </row>
    <row r="86" spans="1:13" x14ac:dyDescent="0.25">
      <c r="A86" t="s">
        <v>206</v>
      </c>
      <c r="B86" s="6">
        <v>46333</v>
      </c>
      <c r="C86" t="s">
        <v>207</v>
      </c>
      <c r="D86" t="s">
        <v>21</v>
      </c>
      <c r="E86" t="s">
        <v>34</v>
      </c>
      <c r="F86" t="s">
        <v>38</v>
      </c>
      <c r="G86">
        <v>2</v>
      </c>
      <c r="H86">
        <v>1350</v>
      </c>
      <c r="I86">
        <v>20</v>
      </c>
      <c r="J86">
        <v>2160</v>
      </c>
      <c r="K86">
        <v>1633.82</v>
      </c>
      <c r="L86">
        <v>526.17999999999995</v>
      </c>
      <c r="M86" t="s">
        <v>63</v>
      </c>
    </row>
    <row r="87" spans="1:13" x14ac:dyDescent="0.25">
      <c r="A87" t="s">
        <v>300</v>
      </c>
      <c r="B87" s="6">
        <v>46062</v>
      </c>
      <c r="C87" t="s">
        <v>109</v>
      </c>
      <c r="D87" t="s">
        <v>52</v>
      </c>
      <c r="E87" t="s">
        <v>34</v>
      </c>
      <c r="F87" t="s">
        <v>38</v>
      </c>
      <c r="G87">
        <v>4</v>
      </c>
      <c r="H87">
        <v>750</v>
      </c>
      <c r="I87">
        <v>15</v>
      </c>
      <c r="J87">
        <v>2550</v>
      </c>
      <c r="K87">
        <v>1415.4</v>
      </c>
      <c r="L87">
        <v>1134.5999999999999</v>
      </c>
      <c r="M87" t="s">
        <v>63</v>
      </c>
    </row>
    <row r="88" spans="1:13" x14ac:dyDescent="0.25">
      <c r="A88" t="s">
        <v>294</v>
      </c>
      <c r="B88" s="6">
        <v>46285</v>
      </c>
      <c r="C88" t="s">
        <v>295</v>
      </c>
      <c r="D88" t="s">
        <v>33</v>
      </c>
      <c r="E88" t="s">
        <v>22</v>
      </c>
      <c r="F88" t="s">
        <v>104</v>
      </c>
      <c r="G88">
        <v>4</v>
      </c>
      <c r="H88">
        <v>1900</v>
      </c>
      <c r="I88">
        <v>10</v>
      </c>
      <c r="J88">
        <v>6840</v>
      </c>
      <c r="K88">
        <v>4160.1099999999997</v>
      </c>
      <c r="L88">
        <v>2679.89</v>
      </c>
      <c r="M88" t="s">
        <v>63</v>
      </c>
    </row>
    <row r="89" spans="1:13" x14ac:dyDescent="0.25">
      <c r="A89" t="s">
        <v>293</v>
      </c>
      <c r="B89" s="6">
        <v>46064</v>
      </c>
      <c r="C89" t="s">
        <v>48</v>
      </c>
      <c r="D89" t="s">
        <v>59</v>
      </c>
      <c r="E89" t="s">
        <v>16</v>
      </c>
      <c r="F89" t="s">
        <v>17</v>
      </c>
      <c r="G89">
        <v>2</v>
      </c>
      <c r="H89">
        <v>21850</v>
      </c>
      <c r="I89">
        <v>20</v>
      </c>
      <c r="J89">
        <v>34960</v>
      </c>
      <c r="K89">
        <v>19697.72</v>
      </c>
      <c r="L89">
        <v>15262.28</v>
      </c>
      <c r="M89" t="s">
        <v>63</v>
      </c>
    </row>
    <row r="90" spans="1:13" x14ac:dyDescent="0.25">
      <c r="A90" t="s">
        <v>259</v>
      </c>
      <c r="B90" s="6">
        <v>46211</v>
      </c>
      <c r="C90" t="s">
        <v>260</v>
      </c>
      <c r="D90" t="s">
        <v>52</v>
      </c>
      <c r="E90" t="s">
        <v>16</v>
      </c>
      <c r="F90" t="s">
        <v>45</v>
      </c>
      <c r="G90">
        <v>1</v>
      </c>
      <c r="H90">
        <v>35850</v>
      </c>
      <c r="I90">
        <v>20</v>
      </c>
      <c r="J90">
        <v>28680</v>
      </c>
      <c r="K90">
        <v>16731.02</v>
      </c>
      <c r="L90">
        <v>11948.98</v>
      </c>
      <c r="M90" t="s">
        <v>63</v>
      </c>
    </row>
    <row r="91" spans="1:13" x14ac:dyDescent="0.25">
      <c r="A91" t="s">
        <v>253</v>
      </c>
      <c r="B91" s="6">
        <v>46344</v>
      </c>
      <c r="C91" t="s">
        <v>106</v>
      </c>
      <c r="D91" t="s">
        <v>44</v>
      </c>
      <c r="E91" t="s">
        <v>55</v>
      </c>
      <c r="F91" t="s">
        <v>97</v>
      </c>
      <c r="G91">
        <v>5</v>
      </c>
      <c r="H91">
        <v>4600</v>
      </c>
      <c r="I91">
        <v>5</v>
      </c>
      <c r="J91">
        <v>21850</v>
      </c>
      <c r="K91">
        <v>15723.85</v>
      </c>
      <c r="L91">
        <v>6126.15</v>
      </c>
      <c r="M91" t="s">
        <v>63</v>
      </c>
    </row>
    <row r="92" spans="1:13" x14ac:dyDescent="0.25">
      <c r="A92" t="s">
        <v>249</v>
      </c>
      <c r="B92" s="6">
        <v>46174</v>
      </c>
      <c r="C92" t="s">
        <v>250</v>
      </c>
      <c r="D92" t="s">
        <v>75</v>
      </c>
      <c r="E92" t="s">
        <v>22</v>
      </c>
      <c r="F92" t="s">
        <v>23</v>
      </c>
      <c r="G92">
        <v>2</v>
      </c>
      <c r="H92">
        <v>1750</v>
      </c>
      <c r="I92">
        <v>20</v>
      </c>
      <c r="J92">
        <v>2800</v>
      </c>
      <c r="K92">
        <v>1811.37</v>
      </c>
      <c r="L92">
        <v>988.63</v>
      </c>
      <c r="M92" t="s">
        <v>63</v>
      </c>
    </row>
    <row r="93" spans="1:13" x14ac:dyDescent="0.25">
      <c r="A93" t="s">
        <v>248</v>
      </c>
      <c r="B93" s="6">
        <v>46256</v>
      </c>
      <c r="C93" t="s">
        <v>200</v>
      </c>
      <c r="D93" t="s">
        <v>80</v>
      </c>
      <c r="E93" t="s">
        <v>16</v>
      </c>
      <c r="F93" t="s">
        <v>45</v>
      </c>
      <c r="G93">
        <v>3</v>
      </c>
      <c r="H93">
        <v>40400</v>
      </c>
      <c r="I93">
        <v>15</v>
      </c>
      <c r="J93">
        <v>103020</v>
      </c>
      <c r="K93">
        <v>75862.350000000006</v>
      </c>
      <c r="L93">
        <v>27157.65</v>
      </c>
      <c r="M93" t="s">
        <v>63</v>
      </c>
    </row>
    <row r="94" spans="1:13" x14ac:dyDescent="0.25">
      <c r="A94" t="s">
        <v>239</v>
      </c>
      <c r="B94" s="6">
        <v>46358</v>
      </c>
      <c r="C94" t="s">
        <v>118</v>
      </c>
      <c r="D94" t="s">
        <v>15</v>
      </c>
      <c r="E94" t="s">
        <v>16</v>
      </c>
      <c r="F94" t="s">
        <v>240</v>
      </c>
      <c r="G94">
        <v>4</v>
      </c>
      <c r="H94">
        <v>3200</v>
      </c>
      <c r="I94">
        <v>5</v>
      </c>
      <c r="J94">
        <v>12160</v>
      </c>
      <c r="K94">
        <v>8034.04</v>
      </c>
      <c r="L94">
        <v>4125.96</v>
      </c>
      <c r="M94" t="s">
        <v>63</v>
      </c>
    </row>
    <row r="95" spans="1:13" x14ac:dyDescent="0.25">
      <c r="A95" t="s">
        <v>237</v>
      </c>
      <c r="B95" s="6">
        <v>46325</v>
      </c>
      <c r="C95" t="s">
        <v>238</v>
      </c>
      <c r="D95" t="s">
        <v>15</v>
      </c>
      <c r="E95" t="s">
        <v>22</v>
      </c>
      <c r="F95" t="s">
        <v>165</v>
      </c>
      <c r="G95">
        <v>2</v>
      </c>
      <c r="H95">
        <v>2250</v>
      </c>
      <c r="I95">
        <v>0</v>
      </c>
      <c r="J95">
        <v>4500</v>
      </c>
      <c r="K95">
        <v>2628.39</v>
      </c>
      <c r="L95">
        <v>1871.61</v>
      </c>
      <c r="M95" t="s">
        <v>63</v>
      </c>
    </row>
    <row r="96" spans="1:13" x14ac:dyDescent="0.25">
      <c r="A96" t="s">
        <v>235</v>
      </c>
      <c r="B96" s="6">
        <v>46233</v>
      </c>
      <c r="C96" t="s">
        <v>236</v>
      </c>
      <c r="D96" t="s">
        <v>33</v>
      </c>
      <c r="E96" t="s">
        <v>55</v>
      </c>
      <c r="F96" t="s">
        <v>97</v>
      </c>
      <c r="G96">
        <v>5</v>
      </c>
      <c r="H96">
        <v>6750</v>
      </c>
      <c r="I96">
        <v>5</v>
      </c>
      <c r="J96">
        <v>32062.5</v>
      </c>
      <c r="K96">
        <v>25044.77</v>
      </c>
      <c r="L96">
        <v>7017.73</v>
      </c>
      <c r="M96" t="s">
        <v>63</v>
      </c>
    </row>
    <row r="97" spans="1:13" x14ac:dyDescent="0.25">
      <c r="A97" t="s">
        <v>223</v>
      </c>
      <c r="B97" s="6">
        <v>46023</v>
      </c>
      <c r="C97" t="s">
        <v>71</v>
      </c>
      <c r="D97" t="s">
        <v>59</v>
      </c>
      <c r="E97" t="s">
        <v>34</v>
      </c>
      <c r="F97" t="s">
        <v>116</v>
      </c>
      <c r="G97">
        <v>3</v>
      </c>
      <c r="H97">
        <v>1350</v>
      </c>
      <c r="I97">
        <v>15</v>
      </c>
      <c r="J97">
        <v>3442.5</v>
      </c>
      <c r="K97">
        <v>2697.29</v>
      </c>
      <c r="L97">
        <v>745.21</v>
      </c>
      <c r="M97" t="s">
        <v>63</v>
      </c>
    </row>
    <row r="98" spans="1:13" x14ac:dyDescent="0.25">
      <c r="A98" t="s">
        <v>227</v>
      </c>
      <c r="B98" s="6">
        <v>46070</v>
      </c>
      <c r="C98" t="s">
        <v>207</v>
      </c>
      <c r="D98" t="s">
        <v>15</v>
      </c>
      <c r="E98" t="s">
        <v>55</v>
      </c>
      <c r="F98" t="s">
        <v>97</v>
      </c>
      <c r="G98">
        <v>3</v>
      </c>
      <c r="H98">
        <v>9500</v>
      </c>
      <c r="I98">
        <v>0</v>
      </c>
      <c r="J98">
        <v>28500</v>
      </c>
      <c r="K98">
        <v>19924.57</v>
      </c>
      <c r="L98">
        <v>8575.43</v>
      </c>
      <c r="M98" t="s">
        <v>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5C86-7819-432E-8FC5-2C2119D7DE8F}">
  <dimension ref="A3:B9"/>
  <sheetViews>
    <sheetView workbookViewId="0">
      <selection activeCell="N13" sqref="N13"/>
    </sheetView>
  </sheetViews>
  <sheetFormatPr defaultRowHeight="15" x14ac:dyDescent="0.25"/>
  <cols>
    <col min="1" max="1" width="15.85546875" bestFit="1" customWidth="1"/>
    <col min="2" max="2" width="12.140625" bestFit="1" customWidth="1"/>
  </cols>
  <sheetData>
    <row r="3" spans="1:2" x14ac:dyDescent="0.25">
      <c r="A3" s="4" t="s">
        <v>701</v>
      </c>
      <c r="B3" t="s">
        <v>704</v>
      </c>
    </row>
    <row r="4" spans="1:2" x14ac:dyDescent="0.25">
      <c r="A4" s="5" t="s">
        <v>63</v>
      </c>
      <c r="B4">
        <v>2317752.5</v>
      </c>
    </row>
    <row r="5" spans="1:2" x14ac:dyDescent="0.25">
      <c r="A5" s="5" t="s">
        <v>24</v>
      </c>
      <c r="B5">
        <v>3284672.5</v>
      </c>
    </row>
    <row r="6" spans="1:2" x14ac:dyDescent="0.25">
      <c r="A6" s="5" t="s">
        <v>30</v>
      </c>
      <c r="B6">
        <v>2272560</v>
      </c>
    </row>
    <row r="7" spans="1:2" x14ac:dyDescent="0.25">
      <c r="A7" s="5" t="s">
        <v>18</v>
      </c>
      <c r="B7">
        <v>2885075</v>
      </c>
    </row>
    <row r="8" spans="1:2" x14ac:dyDescent="0.25">
      <c r="A8" s="5" t="s">
        <v>46</v>
      </c>
      <c r="B8">
        <v>2953750</v>
      </c>
    </row>
    <row r="9" spans="1:2" x14ac:dyDescent="0.25">
      <c r="A9" s="5" t="s">
        <v>703</v>
      </c>
      <c r="B9">
        <v>13713810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0533-62A5-44A8-876C-E55B3CEA95F6}">
  <dimension ref="A1:B4"/>
  <sheetViews>
    <sheetView workbookViewId="0">
      <selection activeCell="M5" sqref="M5:O18"/>
    </sheetView>
  </sheetViews>
  <sheetFormatPr defaultRowHeight="15" x14ac:dyDescent="0.25"/>
  <cols>
    <col min="1" max="1" width="12.5703125" bestFit="1" customWidth="1"/>
    <col min="2" max="2" width="7.140625" bestFit="1" customWidth="1"/>
  </cols>
  <sheetData>
    <row r="1" spans="1:2" x14ac:dyDescent="0.25">
      <c r="A1" s="4" t="s">
        <v>4</v>
      </c>
      <c r="B1" t="s">
        <v>705</v>
      </c>
    </row>
    <row r="3" spans="1:2" x14ac:dyDescent="0.25">
      <c r="A3" t="s">
        <v>702</v>
      </c>
    </row>
    <row r="4" spans="1:2" x14ac:dyDescent="0.25">
      <c r="A4">
        <v>4266370.2499999981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opLeftCell="F1" workbookViewId="0">
      <selection activeCell="C3" sqref="C3"/>
    </sheetView>
  </sheetViews>
  <sheetFormatPr defaultRowHeight="15" x14ac:dyDescent="0.25"/>
  <cols>
    <col min="1" max="1" width="11.140625" customWidth="1"/>
    <col min="2" max="2" width="13.42578125" style="3" customWidth="1"/>
    <col min="3" max="3" width="17" bestFit="1" customWidth="1"/>
    <col min="5" max="5" width="11" customWidth="1"/>
    <col min="6" max="6" width="10" customWidth="1"/>
    <col min="7" max="7" width="10.85546875" customWidth="1"/>
    <col min="8" max="8" width="12.42578125" customWidth="1"/>
    <col min="9" max="9" width="18.7109375" customWidth="1"/>
    <col min="13" max="13" width="19.140625" customWidth="1"/>
    <col min="15" max="15" width="15.42578125" bestFit="1" customWidth="1"/>
    <col min="16" max="16" width="16.42578125" bestFit="1" customWidth="1"/>
    <col min="17" max="17" width="20" bestFit="1" customWidth="1"/>
  </cols>
  <sheetData>
    <row r="1" spans="1:1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719</v>
      </c>
      <c r="O1" s="8" t="s">
        <v>720</v>
      </c>
      <c r="P1" s="8" t="s">
        <v>721</v>
      </c>
      <c r="Q1" s="8" t="s">
        <v>722</v>
      </c>
    </row>
    <row r="2" spans="1:17" x14ac:dyDescent="0.25">
      <c r="A2" t="s">
        <v>13</v>
      </c>
      <c r="B2" s="3">
        <v>46075</v>
      </c>
      <c r="C2" t="s">
        <v>14</v>
      </c>
      <c r="D2" t="s">
        <v>15</v>
      </c>
      <c r="E2" t="s">
        <v>16</v>
      </c>
      <c r="F2" t="s">
        <v>17</v>
      </c>
      <c r="G2">
        <v>3</v>
      </c>
      <c r="H2">
        <v>33300</v>
      </c>
      <c r="I2">
        <v>5</v>
      </c>
      <c r="J2">
        <v>94905</v>
      </c>
      <c r="K2">
        <v>55773.32</v>
      </c>
      <c r="L2">
        <v>39131.68</v>
      </c>
      <c r="M2" t="s">
        <v>18</v>
      </c>
      <c r="N2">
        <f t="shared" ref="N2:N65" si="0">SUM(J2:J501)</f>
        <v>13713810</v>
      </c>
      <c r="O2">
        <f t="shared" ref="O2:O65" si="1">SUM(L2:L501)</f>
        <v>4266370.2499999981</v>
      </c>
      <c r="P2">
        <f t="shared" ref="P2:P65" si="2">COUNTA(A2:A501)</f>
        <v>500</v>
      </c>
      <c r="Q2">
        <f t="shared" ref="Q2:Q65" si="3">COUNTA(_xlfn.UNIQUE(C2:C501))</f>
        <v>143</v>
      </c>
    </row>
    <row r="3" spans="1:17" x14ac:dyDescent="0.25">
      <c r="A3" t="s">
        <v>19</v>
      </c>
      <c r="B3" s="3">
        <v>46331</v>
      </c>
      <c r="C3" t="s">
        <v>20</v>
      </c>
      <c r="D3" t="s">
        <v>21</v>
      </c>
      <c r="E3" t="s">
        <v>22</v>
      </c>
      <c r="F3" t="s">
        <v>23</v>
      </c>
      <c r="G3">
        <v>1</v>
      </c>
      <c r="H3">
        <v>600</v>
      </c>
      <c r="I3">
        <v>5</v>
      </c>
      <c r="J3">
        <v>570</v>
      </c>
      <c r="K3">
        <v>349.31</v>
      </c>
      <c r="L3">
        <v>220.69</v>
      </c>
      <c r="M3" t="s">
        <v>24</v>
      </c>
      <c r="N3">
        <f t="shared" si="0"/>
        <v>13618905</v>
      </c>
      <c r="O3">
        <f t="shared" si="1"/>
        <v>4227238.5699999984</v>
      </c>
      <c r="P3">
        <f t="shared" si="2"/>
        <v>499</v>
      </c>
      <c r="Q3">
        <f t="shared" si="3"/>
        <v>144</v>
      </c>
    </row>
    <row r="4" spans="1:17" x14ac:dyDescent="0.25">
      <c r="A4" t="s">
        <v>25</v>
      </c>
      <c r="B4" s="3">
        <v>46026</v>
      </c>
      <c r="C4" t="s">
        <v>26</v>
      </c>
      <c r="D4" t="s">
        <v>27</v>
      </c>
      <c r="E4" t="s">
        <v>28</v>
      </c>
      <c r="F4" t="s">
        <v>29</v>
      </c>
      <c r="G4">
        <v>2</v>
      </c>
      <c r="H4">
        <v>1050</v>
      </c>
      <c r="I4">
        <v>20</v>
      </c>
      <c r="J4">
        <v>1680</v>
      </c>
      <c r="K4">
        <v>1050.19</v>
      </c>
      <c r="L4">
        <v>629.80999999999995</v>
      </c>
      <c r="M4" t="s">
        <v>30</v>
      </c>
      <c r="N4">
        <f t="shared" si="0"/>
        <v>13618335</v>
      </c>
      <c r="O4">
        <f t="shared" si="1"/>
        <v>4227017.879999998</v>
      </c>
      <c r="P4">
        <f t="shared" si="2"/>
        <v>498</v>
      </c>
      <c r="Q4">
        <f t="shared" si="3"/>
        <v>144</v>
      </c>
    </row>
    <row r="5" spans="1:17" x14ac:dyDescent="0.25">
      <c r="A5" t="s">
        <v>31</v>
      </c>
      <c r="B5" s="3">
        <v>46072</v>
      </c>
      <c r="C5" t="s">
        <v>32</v>
      </c>
      <c r="D5" t="s">
        <v>33</v>
      </c>
      <c r="E5" t="s">
        <v>34</v>
      </c>
      <c r="F5" t="s">
        <v>35</v>
      </c>
      <c r="G5">
        <v>2</v>
      </c>
      <c r="H5">
        <v>3150</v>
      </c>
      <c r="I5">
        <v>0</v>
      </c>
      <c r="J5">
        <v>6300</v>
      </c>
      <c r="K5">
        <v>3622.76</v>
      </c>
      <c r="L5">
        <v>2677.24</v>
      </c>
      <c r="M5" t="s">
        <v>18</v>
      </c>
      <c r="N5">
        <f t="shared" si="0"/>
        <v>13616655</v>
      </c>
      <c r="O5">
        <f t="shared" si="1"/>
        <v>4226388.0699999984</v>
      </c>
      <c r="P5">
        <f t="shared" si="2"/>
        <v>497</v>
      </c>
      <c r="Q5">
        <f t="shared" si="3"/>
        <v>144</v>
      </c>
    </row>
    <row r="6" spans="1:17" x14ac:dyDescent="0.25">
      <c r="A6" t="s">
        <v>36</v>
      </c>
      <c r="B6" s="3">
        <v>46216</v>
      </c>
      <c r="C6" t="s">
        <v>37</v>
      </c>
      <c r="D6" t="s">
        <v>21</v>
      </c>
      <c r="E6" t="s">
        <v>34</v>
      </c>
      <c r="F6" t="s">
        <v>38</v>
      </c>
      <c r="G6">
        <v>4</v>
      </c>
      <c r="H6">
        <v>4800</v>
      </c>
      <c r="I6">
        <v>0</v>
      </c>
      <c r="J6">
        <v>19200</v>
      </c>
      <c r="K6">
        <v>15604.63</v>
      </c>
      <c r="L6">
        <v>3595.37</v>
      </c>
      <c r="M6" t="s">
        <v>30</v>
      </c>
      <c r="N6">
        <f t="shared" si="0"/>
        <v>13610355</v>
      </c>
      <c r="O6">
        <f t="shared" si="1"/>
        <v>4223710.8299999991</v>
      </c>
      <c r="P6">
        <f t="shared" si="2"/>
        <v>496</v>
      </c>
      <c r="Q6">
        <f t="shared" si="3"/>
        <v>144</v>
      </c>
    </row>
    <row r="7" spans="1:17" x14ac:dyDescent="0.25">
      <c r="A7" t="s">
        <v>39</v>
      </c>
      <c r="B7" s="3">
        <v>46139</v>
      </c>
      <c r="C7" t="s">
        <v>40</v>
      </c>
      <c r="D7" t="s">
        <v>15</v>
      </c>
      <c r="E7" t="s">
        <v>28</v>
      </c>
      <c r="F7" t="s">
        <v>41</v>
      </c>
      <c r="G7">
        <v>5</v>
      </c>
      <c r="H7">
        <v>550</v>
      </c>
      <c r="I7">
        <v>0</v>
      </c>
      <c r="J7">
        <v>2750</v>
      </c>
      <c r="K7">
        <v>1546.52</v>
      </c>
      <c r="L7">
        <v>1203.48</v>
      </c>
      <c r="M7" t="s">
        <v>24</v>
      </c>
      <c r="N7">
        <f t="shared" si="0"/>
        <v>13591155</v>
      </c>
      <c r="O7">
        <f t="shared" si="1"/>
        <v>4220115.459999999</v>
      </c>
      <c r="P7">
        <f t="shared" si="2"/>
        <v>495</v>
      </c>
      <c r="Q7">
        <f t="shared" si="3"/>
        <v>144</v>
      </c>
    </row>
    <row r="8" spans="1:17" x14ac:dyDescent="0.25">
      <c r="A8" t="s">
        <v>42</v>
      </c>
      <c r="B8" s="3">
        <v>46204</v>
      </c>
      <c r="C8" t="s">
        <v>43</v>
      </c>
      <c r="D8" t="s">
        <v>44</v>
      </c>
      <c r="E8" t="s">
        <v>16</v>
      </c>
      <c r="F8" t="s">
        <v>45</v>
      </c>
      <c r="G8">
        <v>3</v>
      </c>
      <c r="H8">
        <v>60650</v>
      </c>
      <c r="I8">
        <v>10</v>
      </c>
      <c r="J8">
        <v>163755</v>
      </c>
      <c r="K8">
        <v>97256.81</v>
      </c>
      <c r="L8">
        <v>66498.19</v>
      </c>
      <c r="M8" t="s">
        <v>46</v>
      </c>
      <c r="N8">
        <f t="shared" si="0"/>
        <v>13588405</v>
      </c>
      <c r="O8">
        <f t="shared" si="1"/>
        <v>4218911.9799999986</v>
      </c>
      <c r="P8">
        <f t="shared" si="2"/>
        <v>494</v>
      </c>
      <c r="Q8">
        <f t="shared" si="3"/>
        <v>144</v>
      </c>
    </row>
    <row r="9" spans="1:17" x14ac:dyDescent="0.25">
      <c r="A9" t="s">
        <v>47</v>
      </c>
      <c r="B9" s="3">
        <v>46217</v>
      </c>
      <c r="C9" t="s">
        <v>48</v>
      </c>
      <c r="D9" t="s">
        <v>21</v>
      </c>
      <c r="E9" t="s">
        <v>28</v>
      </c>
      <c r="F9" t="s">
        <v>49</v>
      </c>
      <c r="G9">
        <v>5</v>
      </c>
      <c r="H9">
        <v>1650</v>
      </c>
      <c r="I9">
        <v>5</v>
      </c>
      <c r="J9">
        <v>7837.5</v>
      </c>
      <c r="K9">
        <v>4656.41</v>
      </c>
      <c r="L9">
        <v>3181.09</v>
      </c>
      <c r="M9" t="s">
        <v>24</v>
      </c>
      <c r="N9">
        <f t="shared" si="0"/>
        <v>13424650</v>
      </c>
      <c r="O9">
        <f t="shared" si="1"/>
        <v>4152413.7899999982</v>
      </c>
      <c r="P9">
        <f t="shared" si="2"/>
        <v>493</v>
      </c>
      <c r="Q9">
        <f t="shared" si="3"/>
        <v>144</v>
      </c>
    </row>
    <row r="10" spans="1:17" x14ac:dyDescent="0.25">
      <c r="A10" t="s">
        <v>50</v>
      </c>
      <c r="B10" s="3">
        <v>46056</v>
      </c>
      <c r="C10" t="s">
        <v>51</v>
      </c>
      <c r="D10" t="s">
        <v>52</v>
      </c>
      <c r="E10" t="s">
        <v>34</v>
      </c>
      <c r="F10" t="s">
        <v>38</v>
      </c>
      <c r="G10">
        <v>2</v>
      </c>
      <c r="H10">
        <v>650</v>
      </c>
      <c r="I10">
        <v>10</v>
      </c>
      <c r="J10">
        <v>1170</v>
      </c>
      <c r="K10">
        <v>770.23</v>
      </c>
      <c r="L10">
        <v>399.77</v>
      </c>
      <c r="M10" t="s">
        <v>30</v>
      </c>
      <c r="N10">
        <f t="shared" si="0"/>
        <v>13416812.5</v>
      </c>
      <c r="O10">
        <f t="shared" si="1"/>
        <v>4149232.6999999979</v>
      </c>
      <c r="P10">
        <f t="shared" si="2"/>
        <v>492</v>
      </c>
      <c r="Q10">
        <f t="shared" si="3"/>
        <v>144</v>
      </c>
    </row>
    <row r="11" spans="1:17" x14ac:dyDescent="0.25">
      <c r="A11" t="s">
        <v>53</v>
      </c>
      <c r="B11" s="3">
        <v>46094</v>
      </c>
      <c r="C11" t="s">
        <v>54</v>
      </c>
      <c r="D11" t="s">
        <v>21</v>
      </c>
      <c r="E11" t="s">
        <v>55</v>
      </c>
      <c r="F11" t="s">
        <v>56</v>
      </c>
      <c r="G11">
        <v>4</v>
      </c>
      <c r="H11">
        <v>11050</v>
      </c>
      <c r="I11">
        <v>15</v>
      </c>
      <c r="J11">
        <v>37570</v>
      </c>
      <c r="K11">
        <v>22112.78</v>
      </c>
      <c r="L11">
        <v>15457.22</v>
      </c>
      <c r="M11" t="s">
        <v>18</v>
      </c>
      <c r="N11">
        <f t="shared" si="0"/>
        <v>13415642.5</v>
      </c>
      <c r="O11">
        <f t="shared" si="1"/>
        <v>4148832.9299999978</v>
      </c>
      <c r="P11">
        <f t="shared" si="2"/>
        <v>491</v>
      </c>
      <c r="Q11">
        <f t="shared" si="3"/>
        <v>144</v>
      </c>
    </row>
    <row r="12" spans="1:17" x14ac:dyDescent="0.25">
      <c r="A12" t="s">
        <v>57</v>
      </c>
      <c r="B12" s="3">
        <v>46093</v>
      </c>
      <c r="C12" t="s">
        <v>58</v>
      </c>
      <c r="D12" t="s">
        <v>59</v>
      </c>
      <c r="E12" t="s">
        <v>34</v>
      </c>
      <c r="F12" t="s">
        <v>60</v>
      </c>
      <c r="G12">
        <v>4</v>
      </c>
      <c r="H12">
        <v>5200</v>
      </c>
      <c r="I12">
        <v>15</v>
      </c>
      <c r="J12">
        <v>17680</v>
      </c>
      <c r="K12">
        <v>11452.03</v>
      </c>
      <c r="L12">
        <v>6227.97</v>
      </c>
      <c r="M12" t="s">
        <v>46</v>
      </c>
      <c r="N12">
        <f t="shared" si="0"/>
        <v>13378072.5</v>
      </c>
      <c r="O12">
        <f t="shared" si="1"/>
        <v>4133375.7099999976</v>
      </c>
      <c r="P12">
        <f t="shared" si="2"/>
        <v>490</v>
      </c>
      <c r="Q12">
        <f t="shared" si="3"/>
        <v>144</v>
      </c>
    </row>
    <row r="13" spans="1:17" x14ac:dyDescent="0.25">
      <c r="A13" t="s">
        <v>61</v>
      </c>
      <c r="B13" s="3">
        <v>46220</v>
      </c>
      <c r="C13" t="s">
        <v>62</v>
      </c>
      <c r="D13" t="s">
        <v>52</v>
      </c>
      <c r="E13" t="s">
        <v>16</v>
      </c>
      <c r="F13" t="s">
        <v>17</v>
      </c>
      <c r="G13">
        <v>2</v>
      </c>
      <c r="H13">
        <v>22150</v>
      </c>
      <c r="I13">
        <v>15</v>
      </c>
      <c r="J13">
        <v>37655</v>
      </c>
      <c r="K13">
        <v>26773.85</v>
      </c>
      <c r="L13">
        <v>10881.15</v>
      </c>
      <c r="M13" t="s">
        <v>63</v>
      </c>
      <c r="N13">
        <f t="shared" si="0"/>
        <v>13360392.5</v>
      </c>
      <c r="O13">
        <f t="shared" si="1"/>
        <v>4127147.7399999979</v>
      </c>
      <c r="P13">
        <f t="shared" si="2"/>
        <v>489</v>
      </c>
      <c r="Q13">
        <f t="shared" si="3"/>
        <v>144</v>
      </c>
    </row>
    <row r="14" spans="1:17" x14ac:dyDescent="0.25">
      <c r="A14" t="s">
        <v>64</v>
      </c>
      <c r="B14" s="3">
        <v>46297</v>
      </c>
      <c r="C14" t="s">
        <v>65</v>
      </c>
      <c r="D14" t="s">
        <v>33</v>
      </c>
      <c r="E14" t="s">
        <v>28</v>
      </c>
      <c r="F14" t="s">
        <v>41</v>
      </c>
      <c r="G14">
        <v>5</v>
      </c>
      <c r="H14">
        <v>150</v>
      </c>
      <c r="I14">
        <v>0</v>
      </c>
      <c r="J14">
        <v>750</v>
      </c>
      <c r="K14">
        <v>550.54999999999995</v>
      </c>
      <c r="L14">
        <v>199.45</v>
      </c>
      <c r="M14" t="s">
        <v>46</v>
      </c>
      <c r="N14">
        <f t="shared" si="0"/>
        <v>13322737.5</v>
      </c>
      <c r="O14">
        <f t="shared" si="1"/>
        <v>4116266.5899999975</v>
      </c>
      <c r="P14">
        <f t="shared" si="2"/>
        <v>488</v>
      </c>
      <c r="Q14">
        <f t="shared" si="3"/>
        <v>144</v>
      </c>
    </row>
    <row r="15" spans="1:17" x14ac:dyDescent="0.25">
      <c r="A15" t="s">
        <v>66</v>
      </c>
      <c r="B15" s="3">
        <v>46157</v>
      </c>
      <c r="C15" t="s">
        <v>67</v>
      </c>
      <c r="D15" t="s">
        <v>68</v>
      </c>
      <c r="E15" t="s">
        <v>34</v>
      </c>
      <c r="F15" t="s">
        <v>69</v>
      </c>
      <c r="G15">
        <v>2</v>
      </c>
      <c r="H15">
        <v>4100</v>
      </c>
      <c r="I15">
        <v>0</v>
      </c>
      <c r="J15">
        <v>8200</v>
      </c>
      <c r="K15">
        <v>6621.75</v>
      </c>
      <c r="L15">
        <v>1578.25</v>
      </c>
      <c r="M15" t="s">
        <v>18</v>
      </c>
      <c r="N15">
        <f t="shared" si="0"/>
        <v>13321987.5</v>
      </c>
      <c r="O15">
        <f t="shared" si="1"/>
        <v>4116067.1399999978</v>
      </c>
      <c r="P15">
        <f t="shared" si="2"/>
        <v>487</v>
      </c>
      <c r="Q15">
        <f t="shared" si="3"/>
        <v>144</v>
      </c>
    </row>
    <row r="16" spans="1:17" x14ac:dyDescent="0.25">
      <c r="A16" t="s">
        <v>70</v>
      </c>
      <c r="B16" s="3">
        <v>46105</v>
      </c>
      <c r="C16" t="s">
        <v>71</v>
      </c>
      <c r="D16" t="s">
        <v>21</v>
      </c>
      <c r="E16" t="s">
        <v>16</v>
      </c>
      <c r="F16" t="s">
        <v>72</v>
      </c>
      <c r="G16">
        <v>5</v>
      </c>
      <c r="H16">
        <v>27250</v>
      </c>
      <c r="I16">
        <v>5</v>
      </c>
      <c r="J16">
        <v>129437.5</v>
      </c>
      <c r="K16">
        <v>84258.21</v>
      </c>
      <c r="L16">
        <v>45179.29</v>
      </c>
      <c r="M16" t="s">
        <v>46</v>
      </c>
      <c r="N16">
        <f t="shared" si="0"/>
        <v>13313787.5</v>
      </c>
      <c r="O16">
        <f t="shared" si="1"/>
        <v>4114488.8899999978</v>
      </c>
      <c r="P16">
        <f t="shared" si="2"/>
        <v>486</v>
      </c>
      <c r="Q16">
        <f t="shared" si="3"/>
        <v>144</v>
      </c>
    </row>
    <row r="17" spans="1:17" x14ac:dyDescent="0.25">
      <c r="A17" t="s">
        <v>73</v>
      </c>
      <c r="B17" s="3">
        <v>46180</v>
      </c>
      <c r="C17" t="s">
        <v>74</v>
      </c>
      <c r="D17" t="s">
        <v>75</v>
      </c>
      <c r="E17" t="s">
        <v>28</v>
      </c>
      <c r="F17" t="s">
        <v>41</v>
      </c>
      <c r="G17">
        <v>4</v>
      </c>
      <c r="H17">
        <v>200</v>
      </c>
      <c r="I17">
        <v>0</v>
      </c>
      <c r="J17">
        <v>800</v>
      </c>
      <c r="K17">
        <v>640.69000000000005</v>
      </c>
      <c r="L17">
        <v>159.31</v>
      </c>
      <c r="M17" t="s">
        <v>24</v>
      </c>
      <c r="N17">
        <f t="shared" si="0"/>
        <v>13184350</v>
      </c>
      <c r="O17">
        <f t="shared" si="1"/>
        <v>4069309.5999999982</v>
      </c>
      <c r="P17">
        <f t="shared" si="2"/>
        <v>485</v>
      </c>
      <c r="Q17">
        <f t="shared" si="3"/>
        <v>144</v>
      </c>
    </row>
    <row r="18" spans="1:17" x14ac:dyDescent="0.25">
      <c r="A18" t="s">
        <v>76</v>
      </c>
      <c r="B18" s="3">
        <v>46295</v>
      </c>
      <c r="C18" t="s">
        <v>77</v>
      </c>
      <c r="D18" t="s">
        <v>68</v>
      </c>
      <c r="E18" t="s">
        <v>28</v>
      </c>
      <c r="F18" t="s">
        <v>78</v>
      </c>
      <c r="G18">
        <v>1</v>
      </c>
      <c r="H18">
        <v>1650</v>
      </c>
      <c r="I18">
        <v>15</v>
      </c>
      <c r="J18">
        <v>1402.5</v>
      </c>
      <c r="K18">
        <v>1080.3800000000001</v>
      </c>
      <c r="L18">
        <v>322.12</v>
      </c>
      <c r="M18" t="s">
        <v>63</v>
      </c>
      <c r="N18">
        <f t="shared" si="0"/>
        <v>13183550</v>
      </c>
      <c r="O18">
        <f t="shared" si="1"/>
        <v>4069150.2899999977</v>
      </c>
      <c r="P18">
        <f t="shared" si="2"/>
        <v>484</v>
      </c>
      <c r="Q18">
        <f t="shared" si="3"/>
        <v>144</v>
      </c>
    </row>
    <row r="19" spans="1:17" x14ac:dyDescent="0.25">
      <c r="A19" t="s">
        <v>79</v>
      </c>
      <c r="B19" s="3">
        <v>46131</v>
      </c>
      <c r="C19" t="s">
        <v>71</v>
      </c>
      <c r="D19" t="s">
        <v>80</v>
      </c>
      <c r="E19" t="s">
        <v>28</v>
      </c>
      <c r="F19" t="s">
        <v>49</v>
      </c>
      <c r="G19">
        <v>3</v>
      </c>
      <c r="H19">
        <v>1250</v>
      </c>
      <c r="I19">
        <v>20</v>
      </c>
      <c r="J19">
        <v>3000</v>
      </c>
      <c r="K19">
        <v>1992.74</v>
      </c>
      <c r="L19">
        <v>1007.26</v>
      </c>
      <c r="M19" t="s">
        <v>30</v>
      </c>
      <c r="N19">
        <f t="shared" si="0"/>
        <v>13182147.5</v>
      </c>
      <c r="O19">
        <f t="shared" si="1"/>
        <v>4068828.1699999976</v>
      </c>
      <c r="P19">
        <f t="shared" si="2"/>
        <v>483</v>
      </c>
      <c r="Q19">
        <f t="shared" si="3"/>
        <v>144</v>
      </c>
    </row>
    <row r="20" spans="1:17" x14ac:dyDescent="0.25">
      <c r="A20" t="s">
        <v>81</v>
      </c>
      <c r="B20" s="3">
        <v>46138</v>
      </c>
      <c r="C20" t="s">
        <v>82</v>
      </c>
      <c r="D20" t="s">
        <v>33</v>
      </c>
      <c r="E20" t="s">
        <v>22</v>
      </c>
      <c r="F20" t="s">
        <v>83</v>
      </c>
      <c r="G20">
        <v>4</v>
      </c>
      <c r="H20">
        <v>2300</v>
      </c>
      <c r="I20">
        <v>15</v>
      </c>
      <c r="J20">
        <v>7820</v>
      </c>
      <c r="K20">
        <v>4556.49</v>
      </c>
      <c r="L20">
        <v>3263.51</v>
      </c>
      <c r="M20" t="s">
        <v>46</v>
      </c>
      <c r="N20">
        <f t="shared" si="0"/>
        <v>13179147.5</v>
      </c>
      <c r="O20">
        <f t="shared" si="1"/>
        <v>4067820.9099999978</v>
      </c>
      <c r="P20">
        <f t="shared" si="2"/>
        <v>482</v>
      </c>
      <c r="Q20">
        <f t="shared" si="3"/>
        <v>144</v>
      </c>
    </row>
    <row r="21" spans="1:17" x14ac:dyDescent="0.25">
      <c r="A21" t="s">
        <v>84</v>
      </c>
      <c r="B21" s="3">
        <v>46385</v>
      </c>
      <c r="C21" t="s">
        <v>85</v>
      </c>
      <c r="D21" t="s">
        <v>80</v>
      </c>
      <c r="E21" t="s">
        <v>28</v>
      </c>
      <c r="F21" t="s">
        <v>86</v>
      </c>
      <c r="G21">
        <v>2</v>
      </c>
      <c r="H21">
        <v>1350</v>
      </c>
      <c r="I21">
        <v>5</v>
      </c>
      <c r="J21">
        <v>2565</v>
      </c>
      <c r="K21">
        <v>1415.73</v>
      </c>
      <c r="L21">
        <v>1149.27</v>
      </c>
      <c r="M21" t="s">
        <v>46</v>
      </c>
      <c r="N21">
        <f t="shared" si="0"/>
        <v>13171327.5</v>
      </c>
      <c r="O21">
        <f t="shared" si="1"/>
        <v>4064557.399999998</v>
      </c>
      <c r="P21">
        <f t="shared" si="2"/>
        <v>481</v>
      </c>
      <c r="Q21">
        <f t="shared" si="3"/>
        <v>144</v>
      </c>
    </row>
    <row r="22" spans="1:17" x14ac:dyDescent="0.25">
      <c r="A22" t="s">
        <v>87</v>
      </c>
      <c r="B22" s="3">
        <v>46271</v>
      </c>
      <c r="C22" t="s">
        <v>51</v>
      </c>
      <c r="D22" t="s">
        <v>21</v>
      </c>
      <c r="E22" t="s">
        <v>16</v>
      </c>
      <c r="F22" t="s">
        <v>72</v>
      </c>
      <c r="G22">
        <v>1</v>
      </c>
      <c r="H22">
        <v>68600</v>
      </c>
      <c r="I22">
        <v>5</v>
      </c>
      <c r="J22">
        <v>65170</v>
      </c>
      <c r="K22">
        <v>40743.56</v>
      </c>
      <c r="L22">
        <v>24426.44</v>
      </c>
      <c r="M22" t="s">
        <v>24</v>
      </c>
      <c r="N22">
        <f t="shared" si="0"/>
        <v>13168762.5</v>
      </c>
      <c r="O22">
        <f t="shared" si="1"/>
        <v>4063408.129999998</v>
      </c>
      <c r="P22">
        <f t="shared" si="2"/>
        <v>480</v>
      </c>
      <c r="Q22">
        <f t="shared" si="3"/>
        <v>144</v>
      </c>
    </row>
    <row r="23" spans="1:17" x14ac:dyDescent="0.25">
      <c r="A23" t="s">
        <v>88</v>
      </c>
      <c r="B23" s="3">
        <v>46120</v>
      </c>
      <c r="C23" t="s">
        <v>89</v>
      </c>
      <c r="D23" t="s">
        <v>15</v>
      </c>
      <c r="E23" t="s">
        <v>28</v>
      </c>
      <c r="F23" t="s">
        <v>86</v>
      </c>
      <c r="G23">
        <v>4</v>
      </c>
      <c r="H23">
        <v>650</v>
      </c>
      <c r="I23">
        <v>15</v>
      </c>
      <c r="J23">
        <v>2210</v>
      </c>
      <c r="K23">
        <v>1697.33</v>
      </c>
      <c r="L23">
        <v>512.66999999999996</v>
      </c>
      <c r="M23" t="s">
        <v>63</v>
      </c>
      <c r="N23">
        <f t="shared" si="0"/>
        <v>13103592.5</v>
      </c>
      <c r="O23">
        <f t="shared" si="1"/>
        <v>4038981.6899999981</v>
      </c>
      <c r="P23">
        <f t="shared" si="2"/>
        <v>479</v>
      </c>
      <c r="Q23">
        <f t="shared" si="3"/>
        <v>144</v>
      </c>
    </row>
    <row r="24" spans="1:17" x14ac:dyDescent="0.25">
      <c r="A24" t="s">
        <v>90</v>
      </c>
      <c r="B24" s="3">
        <v>46353</v>
      </c>
      <c r="C24" t="s">
        <v>91</v>
      </c>
      <c r="D24" t="s">
        <v>75</v>
      </c>
      <c r="E24" t="s">
        <v>34</v>
      </c>
      <c r="F24" t="s">
        <v>69</v>
      </c>
      <c r="G24">
        <v>4</v>
      </c>
      <c r="H24">
        <v>4200</v>
      </c>
      <c r="I24">
        <v>0</v>
      </c>
      <c r="J24">
        <v>16800</v>
      </c>
      <c r="K24">
        <v>12294.38</v>
      </c>
      <c r="L24">
        <v>4505.62</v>
      </c>
      <c r="M24" t="s">
        <v>63</v>
      </c>
      <c r="N24">
        <f t="shared" si="0"/>
        <v>13101382.5</v>
      </c>
      <c r="O24">
        <f t="shared" si="1"/>
        <v>4038469.0199999982</v>
      </c>
      <c r="P24">
        <f t="shared" si="2"/>
        <v>478</v>
      </c>
      <c r="Q24">
        <f t="shared" si="3"/>
        <v>144</v>
      </c>
    </row>
    <row r="25" spans="1:17" x14ac:dyDescent="0.25">
      <c r="A25" t="s">
        <v>92</v>
      </c>
      <c r="B25" s="3">
        <v>46094</v>
      </c>
      <c r="C25" t="s">
        <v>93</v>
      </c>
      <c r="D25" t="s">
        <v>68</v>
      </c>
      <c r="E25" t="s">
        <v>34</v>
      </c>
      <c r="F25" t="s">
        <v>38</v>
      </c>
      <c r="G25">
        <v>2</v>
      </c>
      <c r="H25">
        <v>1950</v>
      </c>
      <c r="I25">
        <v>5</v>
      </c>
      <c r="J25">
        <v>3705</v>
      </c>
      <c r="K25">
        <v>2574.2199999999998</v>
      </c>
      <c r="L25">
        <v>1130.78</v>
      </c>
      <c r="M25" t="s">
        <v>30</v>
      </c>
      <c r="N25">
        <f t="shared" si="0"/>
        <v>13084582.5</v>
      </c>
      <c r="O25">
        <f t="shared" si="1"/>
        <v>4033963.399999998</v>
      </c>
      <c r="P25">
        <f t="shared" si="2"/>
        <v>477</v>
      </c>
      <c r="Q25">
        <f t="shared" si="3"/>
        <v>144</v>
      </c>
    </row>
    <row r="26" spans="1:17" x14ac:dyDescent="0.25">
      <c r="A26" t="s">
        <v>94</v>
      </c>
      <c r="B26" s="3">
        <v>46356</v>
      </c>
      <c r="C26" t="s">
        <v>71</v>
      </c>
      <c r="D26" t="s">
        <v>75</v>
      </c>
      <c r="E26" t="s">
        <v>22</v>
      </c>
      <c r="F26" t="s">
        <v>95</v>
      </c>
      <c r="G26">
        <v>1</v>
      </c>
      <c r="H26">
        <v>2000</v>
      </c>
      <c r="I26">
        <v>20</v>
      </c>
      <c r="J26">
        <v>1600</v>
      </c>
      <c r="K26">
        <v>922.3</v>
      </c>
      <c r="L26">
        <v>677.7</v>
      </c>
      <c r="M26" t="s">
        <v>46</v>
      </c>
      <c r="N26">
        <f t="shared" si="0"/>
        <v>13080877.5</v>
      </c>
      <c r="O26">
        <f t="shared" si="1"/>
        <v>4032832.6199999982</v>
      </c>
      <c r="P26">
        <f t="shared" si="2"/>
        <v>476</v>
      </c>
      <c r="Q26">
        <f t="shared" si="3"/>
        <v>144</v>
      </c>
    </row>
    <row r="27" spans="1:17" x14ac:dyDescent="0.25">
      <c r="A27" t="s">
        <v>96</v>
      </c>
      <c r="B27" s="3">
        <v>46228</v>
      </c>
      <c r="C27" t="s">
        <v>85</v>
      </c>
      <c r="D27" t="s">
        <v>68</v>
      </c>
      <c r="E27" t="s">
        <v>55</v>
      </c>
      <c r="F27" t="s">
        <v>97</v>
      </c>
      <c r="G27">
        <v>4</v>
      </c>
      <c r="H27">
        <v>8450</v>
      </c>
      <c r="I27">
        <v>15</v>
      </c>
      <c r="J27">
        <v>28730</v>
      </c>
      <c r="K27">
        <v>17459.560000000001</v>
      </c>
      <c r="L27">
        <v>11270.44</v>
      </c>
      <c r="M27" t="s">
        <v>63</v>
      </c>
      <c r="N27">
        <f t="shared" si="0"/>
        <v>13079277.5</v>
      </c>
      <c r="O27">
        <f t="shared" si="1"/>
        <v>4032154.9199999981</v>
      </c>
      <c r="P27">
        <f t="shared" si="2"/>
        <v>475</v>
      </c>
      <c r="Q27">
        <f t="shared" si="3"/>
        <v>144</v>
      </c>
    </row>
    <row r="28" spans="1:17" x14ac:dyDescent="0.25">
      <c r="A28" t="s">
        <v>98</v>
      </c>
      <c r="B28" s="3">
        <v>46307</v>
      </c>
      <c r="C28" t="s">
        <v>99</v>
      </c>
      <c r="D28" t="s">
        <v>68</v>
      </c>
      <c r="E28" t="s">
        <v>16</v>
      </c>
      <c r="F28" t="s">
        <v>45</v>
      </c>
      <c r="G28">
        <v>3</v>
      </c>
      <c r="H28">
        <v>60850</v>
      </c>
      <c r="I28">
        <v>10</v>
      </c>
      <c r="J28">
        <v>164295</v>
      </c>
      <c r="K28">
        <v>109126.71</v>
      </c>
      <c r="L28">
        <v>55168.29</v>
      </c>
      <c r="M28" t="s">
        <v>24</v>
      </c>
      <c r="N28">
        <f t="shared" si="0"/>
        <v>13050547.5</v>
      </c>
      <c r="O28">
        <f t="shared" si="1"/>
        <v>4020884.4799999981</v>
      </c>
      <c r="P28">
        <f t="shared" si="2"/>
        <v>474</v>
      </c>
      <c r="Q28">
        <f t="shared" si="3"/>
        <v>144</v>
      </c>
    </row>
    <row r="29" spans="1:17" x14ac:dyDescent="0.25">
      <c r="A29" t="s">
        <v>100</v>
      </c>
      <c r="B29" s="3">
        <v>46183</v>
      </c>
      <c r="C29" t="s">
        <v>101</v>
      </c>
      <c r="D29" t="s">
        <v>75</v>
      </c>
      <c r="E29" t="s">
        <v>34</v>
      </c>
      <c r="F29" t="s">
        <v>35</v>
      </c>
      <c r="G29">
        <v>1</v>
      </c>
      <c r="H29">
        <v>5150</v>
      </c>
      <c r="I29">
        <v>20</v>
      </c>
      <c r="J29">
        <v>4120</v>
      </c>
      <c r="K29">
        <v>2333.81</v>
      </c>
      <c r="L29">
        <v>1786.19</v>
      </c>
      <c r="M29" t="s">
        <v>18</v>
      </c>
      <c r="N29">
        <f t="shared" si="0"/>
        <v>12886252.5</v>
      </c>
      <c r="O29">
        <f t="shared" si="1"/>
        <v>3965716.1899999981</v>
      </c>
      <c r="P29">
        <f t="shared" si="2"/>
        <v>473</v>
      </c>
      <c r="Q29">
        <f t="shared" si="3"/>
        <v>144</v>
      </c>
    </row>
    <row r="30" spans="1:17" x14ac:dyDescent="0.25">
      <c r="A30" t="s">
        <v>102</v>
      </c>
      <c r="B30" s="3">
        <v>46064</v>
      </c>
      <c r="C30" t="s">
        <v>103</v>
      </c>
      <c r="D30" t="s">
        <v>15</v>
      </c>
      <c r="E30" t="s">
        <v>22</v>
      </c>
      <c r="F30" t="s">
        <v>104</v>
      </c>
      <c r="G30">
        <v>5</v>
      </c>
      <c r="H30">
        <v>850</v>
      </c>
      <c r="I30">
        <v>0</v>
      </c>
      <c r="J30">
        <v>4250</v>
      </c>
      <c r="K30">
        <v>3439.99</v>
      </c>
      <c r="L30">
        <v>810.01</v>
      </c>
      <c r="M30" t="s">
        <v>18</v>
      </c>
      <c r="N30">
        <f t="shared" si="0"/>
        <v>12882132.5</v>
      </c>
      <c r="O30">
        <f t="shared" si="1"/>
        <v>3963929.9999999981</v>
      </c>
      <c r="P30">
        <f t="shared" si="2"/>
        <v>472</v>
      </c>
      <c r="Q30">
        <f t="shared" si="3"/>
        <v>144</v>
      </c>
    </row>
    <row r="31" spans="1:17" x14ac:dyDescent="0.25">
      <c r="A31" t="s">
        <v>105</v>
      </c>
      <c r="B31" s="3">
        <v>46327</v>
      </c>
      <c r="C31" t="s">
        <v>106</v>
      </c>
      <c r="D31" t="s">
        <v>52</v>
      </c>
      <c r="E31" t="s">
        <v>16</v>
      </c>
      <c r="F31" t="s">
        <v>107</v>
      </c>
      <c r="G31">
        <v>4</v>
      </c>
      <c r="H31">
        <v>16900</v>
      </c>
      <c r="I31">
        <v>20</v>
      </c>
      <c r="J31">
        <v>54080</v>
      </c>
      <c r="K31">
        <v>33339.14</v>
      </c>
      <c r="L31">
        <v>20740.86</v>
      </c>
      <c r="M31" t="s">
        <v>46</v>
      </c>
      <c r="N31">
        <f t="shared" si="0"/>
        <v>12877882.5</v>
      </c>
      <c r="O31">
        <f t="shared" si="1"/>
        <v>3963119.9899999984</v>
      </c>
      <c r="P31">
        <f t="shared" si="2"/>
        <v>471</v>
      </c>
      <c r="Q31">
        <f t="shared" si="3"/>
        <v>144</v>
      </c>
    </row>
    <row r="32" spans="1:17" x14ac:dyDescent="0.25">
      <c r="A32" t="s">
        <v>108</v>
      </c>
      <c r="B32" s="3">
        <v>46127</v>
      </c>
      <c r="C32" t="s">
        <v>109</v>
      </c>
      <c r="D32" t="s">
        <v>80</v>
      </c>
      <c r="E32" t="s">
        <v>22</v>
      </c>
      <c r="F32" t="s">
        <v>104</v>
      </c>
      <c r="G32">
        <v>5</v>
      </c>
      <c r="H32">
        <v>2350</v>
      </c>
      <c r="I32">
        <v>10</v>
      </c>
      <c r="J32">
        <v>10575</v>
      </c>
      <c r="K32">
        <v>8485.07</v>
      </c>
      <c r="L32">
        <v>2089.9299999999998</v>
      </c>
      <c r="M32" t="s">
        <v>30</v>
      </c>
      <c r="N32">
        <f t="shared" si="0"/>
        <v>12823802.5</v>
      </c>
      <c r="O32">
        <f t="shared" si="1"/>
        <v>3942379.129999998</v>
      </c>
      <c r="P32">
        <f t="shared" si="2"/>
        <v>470</v>
      </c>
      <c r="Q32">
        <f t="shared" si="3"/>
        <v>144</v>
      </c>
    </row>
    <row r="33" spans="1:17" x14ac:dyDescent="0.25">
      <c r="A33" t="s">
        <v>110</v>
      </c>
      <c r="B33" s="3">
        <v>46060</v>
      </c>
      <c r="C33" t="s">
        <v>111</v>
      </c>
      <c r="D33" t="s">
        <v>59</v>
      </c>
      <c r="E33" t="s">
        <v>22</v>
      </c>
      <c r="F33" t="s">
        <v>95</v>
      </c>
      <c r="G33">
        <v>3</v>
      </c>
      <c r="H33">
        <v>2050</v>
      </c>
      <c r="I33">
        <v>10</v>
      </c>
      <c r="J33">
        <v>5535</v>
      </c>
      <c r="K33">
        <v>4432.62</v>
      </c>
      <c r="L33">
        <v>1102.3800000000001</v>
      </c>
      <c r="M33" t="s">
        <v>18</v>
      </c>
      <c r="N33">
        <f t="shared" si="0"/>
        <v>12813227.5</v>
      </c>
      <c r="O33">
        <f t="shared" si="1"/>
        <v>3940289.1999999979</v>
      </c>
      <c r="P33">
        <f t="shared" si="2"/>
        <v>469</v>
      </c>
      <c r="Q33">
        <f t="shared" si="3"/>
        <v>144</v>
      </c>
    </row>
    <row r="34" spans="1:17" x14ac:dyDescent="0.25">
      <c r="A34" t="s">
        <v>112</v>
      </c>
      <c r="B34" s="3">
        <v>46090</v>
      </c>
      <c r="C34" t="s">
        <v>113</v>
      </c>
      <c r="D34" t="s">
        <v>15</v>
      </c>
      <c r="E34" t="s">
        <v>28</v>
      </c>
      <c r="F34" t="s">
        <v>78</v>
      </c>
      <c r="G34">
        <v>1</v>
      </c>
      <c r="H34">
        <v>1250</v>
      </c>
      <c r="I34">
        <v>5</v>
      </c>
      <c r="J34">
        <v>1187.5</v>
      </c>
      <c r="K34">
        <v>815.32</v>
      </c>
      <c r="L34">
        <v>372.18</v>
      </c>
      <c r="M34" t="s">
        <v>24</v>
      </c>
      <c r="N34">
        <f t="shared" si="0"/>
        <v>12807692.5</v>
      </c>
      <c r="O34">
        <f t="shared" si="1"/>
        <v>3939186.819999998</v>
      </c>
      <c r="P34">
        <f t="shared" si="2"/>
        <v>468</v>
      </c>
      <c r="Q34">
        <f t="shared" si="3"/>
        <v>144</v>
      </c>
    </row>
    <row r="35" spans="1:17" x14ac:dyDescent="0.25">
      <c r="A35" t="s">
        <v>114</v>
      </c>
      <c r="B35" s="3">
        <v>46336</v>
      </c>
      <c r="C35" t="s">
        <v>115</v>
      </c>
      <c r="D35" t="s">
        <v>75</v>
      </c>
      <c r="E35" t="s">
        <v>34</v>
      </c>
      <c r="F35" t="s">
        <v>116</v>
      </c>
      <c r="G35">
        <v>2</v>
      </c>
      <c r="H35">
        <v>4000</v>
      </c>
      <c r="I35">
        <v>20</v>
      </c>
      <c r="J35">
        <v>6400</v>
      </c>
      <c r="K35">
        <v>4735.72</v>
      </c>
      <c r="L35">
        <v>1664.28</v>
      </c>
      <c r="M35" t="s">
        <v>18</v>
      </c>
      <c r="N35">
        <f t="shared" si="0"/>
        <v>12806505</v>
      </c>
      <c r="O35">
        <f t="shared" si="1"/>
        <v>3938814.6399999983</v>
      </c>
      <c r="P35">
        <f t="shared" si="2"/>
        <v>467</v>
      </c>
      <c r="Q35">
        <f t="shared" si="3"/>
        <v>144</v>
      </c>
    </row>
    <row r="36" spans="1:17" x14ac:dyDescent="0.25">
      <c r="A36" t="s">
        <v>117</v>
      </c>
      <c r="B36" s="3">
        <v>46306</v>
      </c>
      <c r="C36" t="s">
        <v>118</v>
      </c>
      <c r="D36" t="s">
        <v>44</v>
      </c>
      <c r="E36" t="s">
        <v>34</v>
      </c>
      <c r="F36" t="s">
        <v>38</v>
      </c>
      <c r="G36">
        <v>2</v>
      </c>
      <c r="H36">
        <v>2550</v>
      </c>
      <c r="I36">
        <v>0</v>
      </c>
      <c r="J36">
        <v>5100</v>
      </c>
      <c r="K36">
        <v>4030.13</v>
      </c>
      <c r="L36">
        <v>1069.8699999999999</v>
      </c>
      <c r="M36" t="s">
        <v>30</v>
      </c>
      <c r="N36">
        <f t="shared" si="0"/>
        <v>12800105</v>
      </c>
      <c r="O36">
        <f t="shared" si="1"/>
        <v>3937150.359999998</v>
      </c>
      <c r="P36">
        <f t="shared" si="2"/>
        <v>466</v>
      </c>
      <c r="Q36">
        <f t="shared" si="3"/>
        <v>144</v>
      </c>
    </row>
    <row r="37" spans="1:17" x14ac:dyDescent="0.25">
      <c r="A37" t="s">
        <v>119</v>
      </c>
      <c r="B37" s="3">
        <v>46151</v>
      </c>
      <c r="C37" t="s">
        <v>120</v>
      </c>
      <c r="D37" t="s">
        <v>15</v>
      </c>
      <c r="E37" t="s">
        <v>28</v>
      </c>
      <c r="F37" t="s">
        <v>49</v>
      </c>
      <c r="G37">
        <v>3</v>
      </c>
      <c r="H37">
        <v>550</v>
      </c>
      <c r="I37">
        <v>10</v>
      </c>
      <c r="J37">
        <v>1485</v>
      </c>
      <c r="K37">
        <v>1019.39</v>
      </c>
      <c r="L37">
        <v>465.61</v>
      </c>
      <c r="M37" t="s">
        <v>63</v>
      </c>
      <c r="N37">
        <f t="shared" si="0"/>
        <v>12795005</v>
      </c>
      <c r="O37">
        <f t="shared" si="1"/>
        <v>3936080.4899999979</v>
      </c>
      <c r="P37">
        <f t="shared" si="2"/>
        <v>465</v>
      </c>
      <c r="Q37">
        <f t="shared" si="3"/>
        <v>144</v>
      </c>
    </row>
    <row r="38" spans="1:17" x14ac:dyDescent="0.25">
      <c r="A38" t="s">
        <v>121</v>
      </c>
      <c r="B38" s="3">
        <v>46157</v>
      </c>
      <c r="C38" t="s">
        <v>122</v>
      </c>
      <c r="D38" t="s">
        <v>59</v>
      </c>
      <c r="E38" t="s">
        <v>34</v>
      </c>
      <c r="F38" t="s">
        <v>38</v>
      </c>
      <c r="G38">
        <v>1</v>
      </c>
      <c r="H38">
        <v>3150</v>
      </c>
      <c r="I38">
        <v>5</v>
      </c>
      <c r="J38">
        <v>2992.5</v>
      </c>
      <c r="K38">
        <v>2160.65</v>
      </c>
      <c r="L38">
        <v>831.85</v>
      </c>
      <c r="M38" t="s">
        <v>18</v>
      </c>
      <c r="N38">
        <f t="shared" si="0"/>
        <v>12793520</v>
      </c>
      <c r="O38">
        <f t="shared" si="1"/>
        <v>3935614.879999998</v>
      </c>
      <c r="P38">
        <f t="shared" si="2"/>
        <v>464</v>
      </c>
      <c r="Q38">
        <f t="shared" si="3"/>
        <v>144</v>
      </c>
    </row>
    <row r="39" spans="1:17" x14ac:dyDescent="0.25">
      <c r="A39" t="s">
        <v>123</v>
      </c>
      <c r="B39" s="3">
        <v>46376</v>
      </c>
      <c r="C39" t="s">
        <v>124</v>
      </c>
      <c r="D39" t="s">
        <v>21</v>
      </c>
      <c r="E39" t="s">
        <v>22</v>
      </c>
      <c r="F39" t="s">
        <v>104</v>
      </c>
      <c r="G39">
        <v>1</v>
      </c>
      <c r="H39">
        <v>650</v>
      </c>
      <c r="I39">
        <v>0</v>
      </c>
      <c r="J39">
        <v>650</v>
      </c>
      <c r="K39">
        <v>523.36</v>
      </c>
      <c r="L39">
        <v>126.64</v>
      </c>
      <c r="M39" t="s">
        <v>46</v>
      </c>
      <c r="N39">
        <f t="shared" si="0"/>
        <v>12790527.5</v>
      </c>
      <c r="O39">
        <f t="shared" si="1"/>
        <v>3934783.0299999984</v>
      </c>
      <c r="P39">
        <f t="shared" si="2"/>
        <v>463</v>
      </c>
      <c r="Q39">
        <f t="shared" si="3"/>
        <v>143</v>
      </c>
    </row>
    <row r="40" spans="1:17" x14ac:dyDescent="0.25">
      <c r="A40" t="s">
        <v>125</v>
      </c>
      <c r="B40" s="3">
        <v>46180</v>
      </c>
      <c r="C40" t="s">
        <v>126</v>
      </c>
      <c r="D40" t="s">
        <v>75</v>
      </c>
      <c r="E40" t="s">
        <v>34</v>
      </c>
      <c r="F40" t="s">
        <v>60</v>
      </c>
      <c r="G40">
        <v>5</v>
      </c>
      <c r="H40">
        <v>1600</v>
      </c>
      <c r="I40">
        <v>15</v>
      </c>
      <c r="J40">
        <v>6800</v>
      </c>
      <c r="K40">
        <v>3973.99</v>
      </c>
      <c r="L40">
        <v>2826.01</v>
      </c>
      <c r="M40" t="s">
        <v>30</v>
      </c>
      <c r="N40">
        <f t="shared" si="0"/>
        <v>12789877.5</v>
      </c>
      <c r="O40">
        <f t="shared" si="1"/>
        <v>3934656.3899999983</v>
      </c>
      <c r="P40">
        <f t="shared" si="2"/>
        <v>462</v>
      </c>
      <c r="Q40">
        <f t="shared" si="3"/>
        <v>143</v>
      </c>
    </row>
    <row r="41" spans="1:17" x14ac:dyDescent="0.25">
      <c r="A41" t="s">
        <v>127</v>
      </c>
      <c r="B41" s="3">
        <v>46231</v>
      </c>
      <c r="C41" t="s">
        <v>118</v>
      </c>
      <c r="D41" t="s">
        <v>80</v>
      </c>
      <c r="E41" t="s">
        <v>55</v>
      </c>
      <c r="F41" t="s">
        <v>97</v>
      </c>
      <c r="G41">
        <v>1</v>
      </c>
      <c r="H41">
        <v>6300</v>
      </c>
      <c r="I41">
        <v>20</v>
      </c>
      <c r="J41">
        <v>5040</v>
      </c>
      <c r="K41">
        <v>3975.13</v>
      </c>
      <c r="L41">
        <v>1064.8699999999999</v>
      </c>
      <c r="M41" t="s">
        <v>24</v>
      </c>
      <c r="N41">
        <f t="shared" si="0"/>
        <v>12783077.5</v>
      </c>
      <c r="O41">
        <f t="shared" si="1"/>
        <v>3931830.379999998</v>
      </c>
      <c r="P41">
        <f t="shared" si="2"/>
        <v>461</v>
      </c>
      <c r="Q41">
        <f t="shared" si="3"/>
        <v>143</v>
      </c>
    </row>
    <row r="42" spans="1:17" x14ac:dyDescent="0.25">
      <c r="A42" t="s">
        <v>128</v>
      </c>
      <c r="B42" s="3">
        <v>46233</v>
      </c>
      <c r="C42" t="s">
        <v>54</v>
      </c>
      <c r="D42" t="s">
        <v>44</v>
      </c>
      <c r="E42" t="s">
        <v>55</v>
      </c>
      <c r="F42" t="s">
        <v>56</v>
      </c>
      <c r="G42">
        <v>1</v>
      </c>
      <c r="H42">
        <v>3450</v>
      </c>
      <c r="I42">
        <v>10</v>
      </c>
      <c r="J42">
        <v>3105</v>
      </c>
      <c r="K42">
        <v>2363.66</v>
      </c>
      <c r="L42">
        <v>741.34</v>
      </c>
      <c r="M42" t="s">
        <v>24</v>
      </c>
      <c r="N42">
        <f t="shared" si="0"/>
        <v>12778037.5</v>
      </c>
      <c r="O42">
        <f t="shared" si="1"/>
        <v>3930765.5099999984</v>
      </c>
      <c r="P42">
        <f t="shared" si="2"/>
        <v>460</v>
      </c>
      <c r="Q42">
        <f t="shared" si="3"/>
        <v>143</v>
      </c>
    </row>
    <row r="43" spans="1:17" x14ac:dyDescent="0.25">
      <c r="A43" t="s">
        <v>129</v>
      </c>
      <c r="B43" s="3">
        <v>46258</v>
      </c>
      <c r="C43" t="s">
        <v>113</v>
      </c>
      <c r="D43" t="s">
        <v>44</v>
      </c>
      <c r="E43" t="s">
        <v>16</v>
      </c>
      <c r="F43" t="s">
        <v>45</v>
      </c>
      <c r="G43">
        <v>1</v>
      </c>
      <c r="H43">
        <v>62900</v>
      </c>
      <c r="I43">
        <v>5</v>
      </c>
      <c r="J43">
        <v>59755</v>
      </c>
      <c r="K43">
        <v>36085.129999999997</v>
      </c>
      <c r="L43">
        <v>23669.87</v>
      </c>
      <c r="M43" t="s">
        <v>24</v>
      </c>
      <c r="N43">
        <f t="shared" si="0"/>
        <v>12774932.5</v>
      </c>
      <c r="O43">
        <f t="shared" si="1"/>
        <v>3930024.1699999981</v>
      </c>
      <c r="P43">
        <f t="shared" si="2"/>
        <v>459</v>
      </c>
      <c r="Q43">
        <f t="shared" si="3"/>
        <v>143</v>
      </c>
    </row>
    <row r="44" spans="1:17" x14ac:dyDescent="0.25">
      <c r="A44" t="s">
        <v>130</v>
      </c>
      <c r="B44" s="3">
        <v>46058</v>
      </c>
      <c r="C44" t="s">
        <v>131</v>
      </c>
      <c r="D44" t="s">
        <v>33</v>
      </c>
      <c r="E44" t="s">
        <v>55</v>
      </c>
      <c r="F44" t="s">
        <v>132</v>
      </c>
      <c r="G44">
        <v>2</v>
      </c>
      <c r="H44">
        <v>7050</v>
      </c>
      <c r="I44">
        <v>10</v>
      </c>
      <c r="J44">
        <v>12690</v>
      </c>
      <c r="K44">
        <v>7934.08</v>
      </c>
      <c r="L44">
        <v>4755.92</v>
      </c>
      <c r="M44" t="s">
        <v>18</v>
      </c>
      <c r="N44">
        <f t="shared" si="0"/>
        <v>12715177.5</v>
      </c>
      <c r="O44">
        <f t="shared" si="1"/>
        <v>3906354.299999998</v>
      </c>
      <c r="P44">
        <f t="shared" si="2"/>
        <v>458</v>
      </c>
      <c r="Q44">
        <f t="shared" si="3"/>
        <v>143</v>
      </c>
    </row>
    <row r="45" spans="1:17" x14ac:dyDescent="0.25">
      <c r="A45" t="s">
        <v>133</v>
      </c>
      <c r="B45" s="3">
        <v>46156</v>
      </c>
      <c r="C45" t="s">
        <v>134</v>
      </c>
      <c r="D45" t="s">
        <v>52</v>
      </c>
      <c r="E45" t="s">
        <v>22</v>
      </c>
      <c r="F45" t="s">
        <v>104</v>
      </c>
      <c r="G45">
        <v>3</v>
      </c>
      <c r="H45">
        <v>300</v>
      </c>
      <c r="I45">
        <v>0</v>
      </c>
      <c r="J45">
        <v>900</v>
      </c>
      <c r="K45">
        <v>708.12</v>
      </c>
      <c r="L45">
        <v>191.88</v>
      </c>
      <c r="M45" t="s">
        <v>30</v>
      </c>
      <c r="N45">
        <f t="shared" si="0"/>
        <v>12702487.5</v>
      </c>
      <c r="O45">
        <f t="shared" si="1"/>
        <v>3901598.379999998</v>
      </c>
      <c r="P45">
        <f t="shared" si="2"/>
        <v>457</v>
      </c>
      <c r="Q45">
        <f t="shared" si="3"/>
        <v>143</v>
      </c>
    </row>
    <row r="46" spans="1:17" x14ac:dyDescent="0.25">
      <c r="A46" t="s">
        <v>135</v>
      </c>
      <c r="B46" s="3">
        <v>46183</v>
      </c>
      <c r="C46" t="s">
        <v>136</v>
      </c>
      <c r="D46" t="s">
        <v>52</v>
      </c>
      <c r="E46" t="s">
        <v>16</v>
      </c>
      <c r="F46" t="s">
        <v>17</v>
      </c>
      <c r="G46">
        <v>5</v>
      </c>
      <c r="H46">
        <v>58150</v>
      </c>
      <c r="I46">
        <v>10</v>
      </c>
      <c r="J46">
        <v>261675</v>
      </c>
      <c r="K46">
        <v>195394.6</v>
      </c>
      <c r="L46">
        <v>66280.399999999994</v>
      </c>
      <c r="M46" t="s">
        <v>18</v>
      </c>
      <c r="N46">
        <f t="shared" si="0"/>
        <v>12701587.5</v>
      </c>
      <c r="O46">
        <f t="shared" si="1"/>
        <v>3901406.4999999981</v>
      </c>
      <c r="P46">
        <f t="shared" si="2"/>
        <v>456</v>
      </c>
      <c r="Q46">
        <f t="shared" si="3"/>
        <v>143</v>
      </c>
    </row>
    <row r="47" spans="1:17" x14ac:dyDescent="0.25">
      <c r="A47" t="s">
        <v>137</v>
      </c>
      <c r="B47" s="3">
        <v>46246</v>
      </c>
      <c r="C47" t="s">
        <v>138</v>
      </c>
      <c r="D47" t="s">
        <v>21</v>
      </c>
      <c r="E47" t="s">
        <v>16</v>
      </c>
      <c r="F47" t="s">
        <v>45</v>
      </c>
      <c r="G47">
        <v>5</v>
      </c>
      <c r="H47">
        <v>26100</v>
      </c>
      <c r="I47">
        <v>10</v>
      </c>
      <c r="J47">
        <v>117450</v>
      </c>
      <c r="K47">
        <v>66005.06</v>
      </c>
      <c r="L47">
        <v>51444.94</v>
      </c>
      <c r="M47" t="s">
        <v>18</v>
      </c>
      <c r="N47">
        <f t="shared" si="0"/>
        <v>12439912.5</v>
      </c>
      <c r="O47">
        <f t="shared" si="1"/>
        <v>3835126.0999999987</v>
      </c>
      <c r="P47">
        <f t="shared" si="2"/>
        <v>455</v>
      </c>
      <c r="Q47">
        <f t="shared" si="3"/>
        <v>143</v>
      </c>
    </row>
    <row r="48" spans="1:17" x14ac:dyDescent="0.25">
      <c r="A48" t="s">
        <v>139</v>
      </c>
      <c r="B48" s="3">
        <v>46362</v>
      </c>
      <c r="C48" t="s">
        <v>140</v>
      </c>
      <c r="D48" t="s">
        <v>44</v>
      </c>
      <c r="E48" t="s">
        <v>55</v>
      </c>
      <c r="F48" t="s">
        <v>141</v>
      </c>
      <c r="G48">
        <v>4</v>
      </c>
      <c r="H48">
        <v>1650</v>
      </c>
      <c r="I48">
        <v>10</v>
      </c>
      <c r="J48">
        <v>5940</v>
      </c>
      <c r="K48">
        <v>4266.42</v>
      </c>
      <c r="L48">
        <v>1673.58</v>
      </c>
      <c r="M48" t="s">
        <v>18</v>
      </c>
      <c r="N48">
        <f t="shared" si="0"/>
        <v>12322462.5</v>
      </c>
      <c r="O48">
        <f t="shared" si="1"/>
        <v>3783681.1599999988</v>
      </c>
      <c r="P48">
        <f t="shared" si="2"/>
        <v>454</v>
      </c>
      <c r="Q48">
        <f t="shared" si="3"/>
        <v>143</v>
      </c>
    </row>
    <row r="49" spans="1:17" x14ac:dyDescent="0.25">
      <c r="A49" t="s">
        <v>142</v>
      </c>
      <c r="B49" s="3">
        <v>46121</v>
      </c>
      <c r="C49" t="s">
        <v>143</v>
      </c>
      <c r="D49" t="s">
        <v>27</v>
      </c>
      <c r="E49" t="s">
        <v>34</v>
      </c>
      <c r="F49" t="s">
        <v>69</v>
      </c>
      <c r="G49">
        <v>3</v>
      </c>
      <c r="H49">
        <v>3700</v>
      </c>
      <c r="I49">
        <v>10</v>
      </c>
      <c r="J49">
        <v>9990</v>
      </c>
      <c r="K49">
        <v>6989.92</v>
      </c>
      <c r="L49">
        <v>3000.08</v>
      </c>
      <c r="M49" t="s">
        <v>24</v>
      </c>
      <c r="N49">
        <f t="shared" si="0"/>
        <v>12316522.5</v>
      </c>
      <c r="O49">
        <f t="shared" si="1"/>
        <v>3782007.5799999987</v>
      </c>
      <c r="P49">
        <f t="shared" si="2"/>
        <v>453</v>
      </c>
      <c r="Q49">
        <f t="shared" si="3"/>
        <v>143</v>
      </c>
    </row>
    <row r="50" spans="1:17" x14ac:dyDescent="0.25">
      <c r="A50" t="s">
        <v>144</v>
      </c>
      <c r="B50" s="3">
        <v>46178</v>
      </c>
      <c r="C50" t="s">
        <v>145</v>
      </c>
      <c r="D50" t="s">
        <v>80</v>
      </c>
      <c r="E50" t="s">
        <v>28</v>
      </c>
      <c r="F50" t="s">
        <v>86</v>
      </c>
      <c r="G50">
        <v>3</v>
      </c>
      <c r="H50">
        <v>1000</v>
      </c>
      <c r="I50">
        <v>20</v>
      </c>
      <c r="J50">
        <v>2400</v>
      </c>
      <c r="K50">
        <v>1860.25</v>
      </c>
      <c r="L50">
        <v>539.75</v>
      </c>
      <c r="M50" t="s">
        <v>63</v>
      </c>
      <c r="N50">
        <f t="shared" si="0"/>
        <v>12306532.5</v>
      </c>
      <c r="O50">
        <f t="shared" si="1"/>
        <v>3779007.4999999986</v>
      </c>
      <c r="P50">
        <f t="shared" si="2"/>
        <v>452</v>
      </c>
      <c r="Q50">
        <f t="shared" si="3"/>
        <v>143</v>
      </c>
    </row>
    <row r="51" spans="1:17" x14ac:dyDescent="0.25">
      <c r="A51" t="s">
        <v>146</v>
      </c>
      <c r="B51" s="3">
        <v>46132</v>
      </c>
      <c r="C51" t="s">
        <v>58</v>
      </c>
      <c r="D51" t="s">
        <v>59</v>
      </c>
      <c r="E51" t="s">
        <v>28</v>
      </c>
      <c r="F51" t="s">
        <v>86</v>
      </c>
      <c r="G51">
        <v>3</v>
      </c>
      <c r="H51">
        <v>1100</v>
      </c>
      <c r="I51">
        <v>15</v>
      </c>
      <c r="J51">
        <v>2805</v>
      </c>
      <c r="K51">
        <v>1877.62</v>
      </c>
      <c r="L51">
        <v>927.38</v>
      </c>
      <c r="M51" t="s">
        <v>24</v>
      </c>
      <c r="N51">
        <f t="shared" si="0"/>
        <v>12304132.5</v>
      </c>
      <c r="O51">
        <f t="shared" si="1"/>
        <v>3778467.7499999986</v>
      </c>
      <c r="P51">
        <f t="shared" si="2"/>
        <v>451</v>
      </c>
      <c r="Q51">
        <f t="shared" si="3"/>
        <v>143</v>
      </c>
    </row>
    <row r="52" spans="1:17" x14ac:dyDescent="0.25">
      <c r="A52" t="s">
        <v>147</v>
      </c>
      <c r="B52" s="3">
        <v>46143</v>
      </c>
      <c r="C52" t="s">
        <v>148</v>
      </c>
      <c r="D52" t="s">
        <v>80</v>
      </c>
      <c r="E52" t="s">
        <v>16</v>
      </c>
      <c r="F52" t="s">
        <v>72</v>
      </c>
      <c r="G52">
        <v>5</v>
      </c>
      <c r="H52">
        <v>45150</v>
      </c>
      <c r="I52">
        <v>0</v>
      </c>
      <c r="J52">
        <v>225750</v>
      </c>
      <c r="K52">
        <v>174047.46</v>
      </c>
      <c r="L52">
        <v>51702.54</v>
      </c>
      <c r="M52" t="s">
        <v>24</v>
      </c>
      <c r="N52">
        <f t="shared" si="0"/>
        <v>12301327.5</v>
      </c>
      <c r="O52">
        <f t="shared" si="1"/>
        <v>3777540.3699999987</v>
      </c>
      <c r="P52">
        <f t="shared" si="2"/>
        <v>450</v>
      </c>
      <c r="Q52">
        <f t="shared" si="3"/>
        <v>143</v>
      </c>
    </row>
    <row r="53" spans="1:17" x14ac:dyDescent="0.25">
      <c r="A53" t="s">
        <v>149</v>
      </c>
      <c r="B53" s="3">
        <v>46060</v>
      </c>
      <c r="C53" t="s">
        <v>150</v>
      </c>
      <c r="D53" t="s">
        <v>27</v>
      </c>
      <c r="E53" t="s">
        <v>55</v>
      </c>
      <c r="F53" t="s">
        <v>132</v>
      </c>
      <c r="G53">
        <v>1</v>
      </c>
      <c r="H53">
        <v>4500</v>
      </c>
      <c r="I53">
        <v>15</v>
      </c>
      <c r="J53">
        <v>3825</v>
      </c>
      <c r="K53">
        <v>2735.04</v>
      </c>
      <c r="L53">
        <v>1089.96</v>
      </c>
      <c r="M53" t="s">
        <v>18</v>
      </c>
      <c r="N53">
        <f t="shared" si="0"/>
        <v>12075577.5</v>
      </c>
      <c r="O53">
        <f t="shared" si="1"/>
        <v>3725837.8299999982</v>
      </c>
      <c r="P53">
        <f t="shared" si="2"/>
        <v>449</v>
      </c>
      <c r="Q53">
        <f t="shared" si="3"/>
        <v>143</v>
      </c>
    </row>
    <row r="54" spans="1:17" x14ac:dyDescent="0.25">
      <c r="A54" t="s">
        <v>151</v>
      </c>
      <c r="B54" s="3">
        <v>46375</v>
      </c>
      <c r="C54" t="s">
        <v>152</v>
      </c>
      <c r="D54" t="s">
        <v>15</v>
      </c>
      <c r="E54" t="s">
        <v>55</v>
      </c>
      <c r="F54" t="s">
        <v>56</v>
      </c>
      <c r="G54">
        <v>4</v>
      </c>
      <c r="H54">
        <v>7050</v>
      </c>
      <c r="I54">
        <v>5</v>
      </c>
      <c r="J54">
        <v>26790</v>
      </c>
      <c r="K54">
        <v>15801.93</v>
      </c>
      <c r="L54">
        <v>10988.07</v>
      </c>
      <c r="M54" t="s">
        <v>63</v>
      </c>
      <c r="N54">
        <f t="shared" si="0"/>
        <v>12071752.5</v>
      </c>
      <c r="O54">
        <f t="shared" si="1"/>
        <v>3724747.8699999982</v>
      </c>
      <c r="P54">
        <f t="shared" si="2"/>
        <v>448</v>
      </c>
      <c r="Q54">
        <f t="shared" si="3"/>
        <v>143</v>
      </c>
    </row>
    <row r="55" spans="1:17" x14ac:dyDescent="0.25">
      <c r="A55" t="s">
        <v>153</v>
      </c>
      <c r="B55" s="3">
        <v>46085</v>
      </c>
      <c r="C55" t="s">
        <v>150</v>
      </c>
      <c r="D55" t="s">
        <v>68</v>
      </c>
      <c r="E55" t="s">
        <v>55</v>
      </c>
      <c r="F55" t="s">
        <v>97</v>
      </c>
      <c r="G55">
        <v>5</v>
      </c>
      <c r="H55">
        <v>8100</v>
      </c>
      <c r="I55">
        <v>0</v>
      </c>
      <c r="J55">
        <v>40500</v>
      </c>
      <c r="K55">
        <v>28370.23</v>
      </c>
      <c r="L55">
        <v>12129.77</v>
      </c>
      <c r="M55" t="s">
        <v>63</v>
      </c>
      <c r="N55">
        <f t="shared" si="0"/>
        <v>12044962.5</v>
      </c>
      <c r="O55">
        <f t="shared" si="1"/>
        <v>3713759.7999999984</v>
      </c>
      <c r="P55">
        <f t="shared" si="2"/>
        <v>447</v>
      </c>
      <c r="Q55">
        <f t="shared" si="3"/>
        <v>143</v>
      </c>
    </row>
    <row r="56" spans="1:17" x14ac:dyDescent="0.25">
      <c r="A56" t="s">
        <v>154</v>
      </c>
      <c r="B56" s="3">
        <v>46281</v>
      </c>
      <c r="C56" t="s">
        <v>155</v>
      </c>
      <c r="D56" t="s">
        <v>21</v>
      </c>
      <c r="E56" t="s">
        <v>28</v>
      </c>
      <c r="F56" t="s">
        <v>86</v>
      </c>
      <c r="G56">
        <v>5</v>
      </c>
      <c r="H56">
        <v>800</v>
      </c>
      <c r="I56">
        <v>15</v>
      </c>
      <c r="J56">
        <v>3400</v>
      </c>
      <c r="K56">
        <v>2432.41</v>
      </c>
      <c r="L56">
        <v>967.59</v>
      </c>
      <c r="M56" t="s">
        <v>63</v>
      </c>
      <c r="N56">
        <f t="shared" si="0"/>
        <v>12004462.5</v>
      </c>
      <c r="O56">
        <f t="shared" si="1"/>
        <v>3701630.0299999989</v>
      </c>
      <c r="P56">
        <f t="shared" si="2"/>
        <v>446</v>
      </c>
      <c r="Q56">
        <f t="shared" si="3"/>
        <v>143</v>
      </c>
    </row>
    <row r="57" spans="1:17" x14ac:dyDescent="0.25">
      <c r="A57" t="s">
        <v>156</v>
      </c>
      <c r="B57" s="3">
        <v>46164</v>
      </c>
      <c r="C57" t="s">
        <v>157</v>
      </c>
      <c r="D57" t="s">
        <v>59</v>
      </c>
      <c r="E57" t="s">
        <v>55</v>
      </c>
      <c r="F57" t="s">
        <v>56</v>
      </c>
      <c r="G57">
        <v>4</v>
      </c>
      <c r="H57">
        <v>4750</v>
      </c>
      <c r="I57">
        <v>5</v>
      </c>
      <c r="J57">
        <v>18050</v>
      </c>
      <c r="K57">
        <v>14020.57</v>
      </c>
      <c r="L57">
        <v>4029.43</v>
      </c>
      <c r="M57" t="s">
        <v>24</v>
      </c>
      <c r="N57">
        <f t="shared" si="0"/>
        <v>12001062.5</v>
      </c>
      <c r="O57">
        <f t="shared" si="1"/>
        <v>3700662.439999999</v>
      </c>
      <c r="P57">
        <f t="shared" si="2"/>
        <v>445</v>
      </c>
      <c r="Q57">
        <f t="shared" si="3"/>
        <v>143</v>
      </c>
    </row>
    <row r="58" spans="1:17" x14ac:dyDescent="0.25">
      <c r="A58" t="s">
        <v>158</v>
      </c>
      <c r="B58" s="3">
        <v>46186</v>
      </c>
      <c r="C58" t="s">
        <v>71</v>
      </c>
      <c r="D58" t="s">
        <v>15</v>
      </c>
      <c r="E58" t="s">
        <v>34</v>
      </c>
      <c r="F58" t="s">
        <v>69</v>
      </c>
      <c r="G58">
        <v>1</v>
      </c>
      <c r="H58">
        <v>2750</v>
      </c>
      <c r="I58">
        <v>5</v>
      </c>
      <c r="J58">
        <v>2612.5</v>
      </c>
      <c r="K58">
        <v>1628.54</v>
      </c>
      <c r="L58">
        <v>983.96</v>
      </c>
      <c r="M58" t="s">
        <v>24</v>
      </c>
      <c r="N58">
        <f t="shared" si="0"/>
        <v>11983012.5</v>
      </c>
      <c r="O58">
        <f t="shared" si="1"/>
        <v>3696633.0099999988</v>
      </c>
      <c r="P58">
        <f t="shared" si="2"/>
        <v>444</v>
      </c>
      <c r="Q58">
        <f t="shared" si="3"/>
        <v>143</v>
      </c>
    </row>
    <row r="59" spans="1:17" x14ac:dyDescent="0.25">
      <c r="A59" t="s">
        <v>159</v>
      </c>
      <c r="B59" s="3">
        <v>46055</v>
      </c>
      <c r="C59" t="s">
        <v>160</v>
      </c>
      <c r="D59" t="s">
        <v>27</v>
      </c>
      <c r="E59" t="s">
        <v>55</v>
      </c>
      <c r="F59" t="s">
        <v>97</v>
      </c>
      <c r="G59">
        <v>4</v>
      </c>
      <c r="H59">
        <v>11850</v>
      </c>
      <c r="I59">
        <v>5</v>
      </c>
      <c r="J59">
        <v>45030</v>
      </c>
      <c r="K59">
        <v>33355.21</v>
      </c>
      <c r="L59">
        <v>11674.79</v>
      </c>
      <c r="M59" t="s">
        <v>30</v>
      </c>
      <c r="N59">
        <f t="shared" si="0"/>
        <v>11980400</v>
      </c>
      <c r="O59">
        <f t="shared" si="1"/>
        <v>3695649.0499999989</v>
      </c>
      <c r="P59">
        <f t="shared" si="2"/>
        <v>443</v>
      </c>
      <c r="Q59">
        <f t="shared" si="3"/>
        <v>143</v>
      </c>
    </row>
    <row r="60" spans="1:17" x14ac:dyDescent="0.25">
      <c r="A60" t="s">
        <v>161</v>
      </c>
      <c r="B60" s="3">
        <v>46222</v>
      </c>
      <c r="C60" t="s">
        <v>162</v>
      </c>
      <c r="D60" t="s">
        <v>75</v>
      </c>
      <c r="E60" t="s">
        <v>28</v>
      </c>
      <c r="F60" t="s">
        <v>29</v>
      </c>
      <c r="G60">
        <v>4</v>
      </c>
      <c r="H60">
        <v>300</v>
      </c>
      <c r="I60">
        <v>5</v>
      </c>
      <c r="J60">
        <v>1140</v>
      </c>
      <c r="K60">
        <v>883.36</v>
      </c>
      <c r="L60">
        <v>256.64</v>
      </c>
      <c r="M60" t="s">
        <v>18</v>
      </c>
      <c r="N60">
        <f t="shared" si="0"/>
        <v>11935370</v>
      </c>
      <c r="O60">
        <f t="shared" si="1"/>
        <v>3683974.2599999988</v>
      </c>
      <c r="P60">
        <f t="shared" si="2"/>
        <v>442</v>
      </c>
      <c r="Q60">
        <f t="shared" si="3"/>
        <v>143</v>
      </c>
    </row>
    <row r="61" spans="1:17" x14ac:dyDescent="0.25">
      <c r="A61" t="s">
        <v>163</v>
      </c>
      <c r="B61" s="3">
        <v>46237</v>
      </c>
      <c r="C61" t="s">
        <v>164</v>
      </c>
      <c r="D61" t="s">
        <v>21</v>
      </c>
      <c r="E61" t="s">
        <v>22</v>
      </c>
      <c r="F61" t="s">
        <v>165</v>
      </c>
      <c r="G61">
        <v>1</v>
      </c>
      <c r="H61">
        <v>1650</v>
      </c>
      <c r="I61">
        <v>10</v>
      </c>
      <c r="J61">
        <v>1485</v>
      </c>
      <c r="K61">
        <v>1118.8599999999999</v>
      </c>
      <c r="L61">
        <v>366.14</v>
      </c>
      <c r="M61" t="s">
        <v>18</v>
      </c>
      <c r="N61">
        <f t="shared" si="0"/>
        <v>11934230</v>
      </c>
      <c r="O61">
        <f t="shared" si="1"/>
        <v>3683717.6199999992</v>
      </c>
      <c r="P61">
        <f t="shared" si="2"/>
        <v>441</v>
      </c>
      <c r="Q61">
        <f t="shared" si="3"/>
        <v>143</v>
      </c>
    </row>
    <row r="62" spans="1:17" x14ac:dyDescent="0.25">
      <c r="A62" t="s">
        <v>166</v>
      </c>
      <c r="B62" s="3">
        <v>46222</v>
      </c>
      <c r="C62" t="s">
        <v>167</v>
      </c>
      <c r="D62" t="s">
        <v>27</v>
      </c>
      <c r="E62" t="s">
        <v>55</v>
      </c>
      <c r="F62" t="s">
        <v>56</v>
      </c>
      <c r="G62">
        <v>2</v>
      </c>
      <c r="H62">
        <v>4950</v>
      </c>
      <c r="I62">
        <v>15</v>
      </c>
      <c r="J62">
        <v>8415</v>
      </c>
      <c r="K62">
        <v>5731.65</v>
      </c>
      <c r="L62">
        <v>2683.35</v>
      </c>
      <c r="M62" t="s">
        <v>24</v>
      </c>
      <c r="N62">
        <f t="shared" si="0"/>
        <v>11932745</v>
      </c>
      <c r="O62">
        <f t="shared" si="1"/>
        <v>3683351.4799999991</v>
      </c>
      <c r="P62">
        <f t="shared" si="2"/>
        <v>440</v>
      </c>
      <c r="Q62">
        <f t="shared" si="3"/>
        <v>143</v>
      </c>
    </row>
    <row r="63" spans="1:17" x14ac:dyDescent="0.25">
      <c r="A63" t="s">
        <v>168</v>
      </c>
      <c r="B63" s="3">
        <v>46326</v>
      </c>
      <c r="C63" t="s">
        <v>169</v>
      </c>
      <c r="D63" t="s">
        <v>75</v>
      </c>
      <c r="E63" t="s">
        <v>22</v>
      </c>
      <c r="F63" t="s">
        <v>95</v>
      </c>
      <c r="G63">
        <v>5</v>
      </c>
      <c r="H63">
        <v>2400</v>
      </c>
      <c r="I63">
        <v>0</v>
      </c>
      <c r="J63">
        <v>12000</v>
      </c>
      <c r="K63">
        <v>9538.4500000000007</v>
      </c>
      <c r="L63">
        <v>2461.5500000000002</v>
      </c>
      <c r="M63" t="s">
        <v>46</v>
      </c>
      <c r="N63">
        <f t="shared" si="0"/>
        <v>11924330</v>
      </c>
      <c r="O63">
        <f t="shared" si="1"/>
        <v>3680668.129999999</v>
      </c>
      <c r="P63">
        <f t="shared" si="2"/>
        <v>439</v>
      </c>
      <c r="Q63">
        <f t="shared" si="3"/>
        <v>143</v>
      </c>
    </row>
    <row r="64" spans="1:17" x14ac:dyDescent="0.25">
      <c r="A64" t="s">
        <v>170</v>
      </c>
      <c r="B64" s="3">
        <v>46190</v>
      </c>
      <c r="C64" t="s">
        <v>51</v>
      </c>
      <c r="D64" t="s">
        <v>59</v>
      </c>
      <c r="E64" t="s">
        <v>22</v>
      </c>
      <c r="F64" t="s">
        <v>95</v>
      </c>
      <c r="G64">
        <v>4</v>
      </c>
      <c r="H64">
        <v>950</v>
      </c>
      <c r="I64">
        <v>0</v>
      </c>
      <c r="J64">
        <v>3800</v>
      </c>
      <c r="K64">
        <v>2356.92</v>
      </c>
      <c r="L64">
        <v>1443.08</v>
      </c>
      <c r="M64" t="s">
        <v>30</v>
      </c>
      <c r="N64">
        <f t="shared" si="0"/>
        <v>11912330</v>
      </c>
      <c r="O64">
        <f t="shared" si="1"/>
        <v>3678206.5799999991</v>
      </c>
      <c r="P64">
        <f t="shared" si="2"/>
        <v>438</v>
      </c>
      <c r="Q64">
        <f t="shared" si="3"/>
        <v>143</v>
      </c>
    </row>
    <row r="65" spans="1:17" x14ac:dyDescent="0.25">
      <c r="A65" t="s">
        <v>171</v>
      </c>
      <c r="B65" s="3">
        <v>46263</v>
      </c>
      <c r="C65" t="s">
        <v>172</v>
      </c>
      <c r="D65" t="s">
        <v>21</v>
      </c>
      <c r="E65" t="s">
        <v>34</v>
      </c>
      <c r="F65" t="s">
        <v>69</v>
      </c>
      <c r="G65">
        <v>3</v>
      </c>
      <c r="H65">
        <v>3850</v>
      </c>
      <c r="I65">
        <v>10</v>
      </c>
      <c r="J65">
        <v>10395</v>
      </c>
      <c r="K65">
        <v>8060.55</v>
      </c>
      <c r="L65">
        <v>2334.4499999999998</v>
      </c>
      <c r="M65" t="s">
        <v>46</v>
      </c>
      <c r="N65">
        <f t="shared" si="0"/>
        <v>11908530</v>
      </c>
      <c r="O65">
        <f t="shared" si="1"/>
        <v>3676763.4999999991</v>
      </c>
      <c r="P65">
        <f t="shared" si="2"/>
        <v>437</v>
      </c>
      <c r="Q65">
        <f t="shared" si="3"/>
        <v>143</v>
      </c>
    </row>
    <row r="66" spans="1:17" x14ac:dyDescent="0.25">
      <c r="A66" t="s">
        <v>173</v>
      </c>
      <c r="B66" s="3">
        <v>46149</v>
      </c>
      <c r="C66" t="s">
        <v>174</v>
      </c>
      <c r="D66" t="s">
        <v>75</v>
      </c>
      <c r="E66" t="s">
        <v>34</v>
      </c>
      <c r="F66" t="s">
        <v>35</v>
      </c>
      <c r="G66">
        <v>1</v>
      </c>
      <c r="H66">
        <v>5750</v>
      </c>
      <c r="I66">
        <v>0</v>
      </c>
      <c r="J66">
        <v>5750</v>
      </c>
      <c r="K66">
        <v>4333.45</v>
      </c>
      <c r="L66">
        <v>1416.55</v>
      </c>
      <c r="M66" t="s">
        <v>18</v>
      </c>
      <c r="N66">
        <f t="shared" ref="N66:N129" si="4">SUM(J66:J565)</f>
        <v>11898135</v>
      </c>
      <c r="O66">
        <f t="shared" ref="O66:O129" si="5">SUM(L66:L565)</f>
        <v>3674429.0499999989</v>
      </c>
      <c r="P66">
        <f t="shared" ref="P66:P129" si="6">COUNTA(A66:A565)</f>
        <v>436</v>
      </c>
      <c r="Q66">
        <f t="shared" ref="Q66:Q129" si="7">COUNTA(_xlfn.UNIQUE(C66:C565))</f>
        <v>143</v>
      </c>
    </row>
    <row r="67" spans="1:17" x14ac:dyDescent="0.25">
      <c r="A67" t="s">
        <v>175</v>
      </c>
      <c r="B67" s="3">
        <v>46134</v>
      </c>
      <c r="C67" t="s">
        <v>176</v>
      </c>
      <c r="D67" t="s">
        <v>44</v>
      </c>
      <c r="E67" t="s">
        <v>55</v>
      </c>
      <c r="F67" t="s">
        <v>97</v>
      </c>
      <c r="G67">
        <v>2</v>
      </c>
      <c r="H67">
        <v>8250</v>
      </c>
      <c r="I67">
        <v>0</v>
      </c>
      <c r="J67">
        <v>16500</v>
      </c>
      <c r="K67">
        <v>11587.48</v>
      </c>
      <c r="L67">
        <v>4912.5200000000004</v>
      </c>
      <c r="M67" t="s">
        <v>30</v>
      </c>
      <c r="N67">
        <f t="shared" si="4"/>
        <v>11892385</v>
      </c>
      <c r="O67">
        <f t="shared" si="5"/>
        <v>3673012.4999999991</v>
      </c>
      <c r="P67">
        <f t="shared" si="6"/>
        <v>435</v>
      </c>
      <c r="Q67">
        <f t="shared" si="7"/>
        <v>143</v>
      </c>
    </row>
    <row r="68" spans="1:17" x14ac:dyDescent="0.25">
      <c r="A68" t="s">
        <v>177</v>
      </c>
      <c r="B68" s="3">
        <v>46078</v>
      </c>
      <c r="C68" t="s">
        <v>178</v>
      </c>
      <c r="D68" t="s">
        <v>75</v>
      </c>
      <c r="E68" t="s">
        <v>55</v>
      </c>
      <c r="F68" t="s">
        <v>179</v>
      </c>
      <c r="G68">
        <v>5</v>
      </c>
      <c r="H68">
        <v>2400</v>
      </c>
      <c r="I68">
        <v>5</v>
      </c>
      <c r="J68">
        <v>11400</v>
      </c>
      <c r="K68">
        <v>9239.41</v>
      </c>
      <c r="L68">
        <v>2160.59</v>
      </c>
      <c r="M68" t="s">
        <v>30</v>
      </c>
      <c r="N68">
        <f t="shared" si="4"/>
        <v>11875885</v>
      </c>
      <c r="O68">
        <f t="shared" si="5"/>
        <v>3668099.9799999991</v>
      </c>
      <c r="P68">
        <f t="shared" si="6"/>
        <v>434</v>
      </c>
      <c r="Q68">
        <f t="shared" si="7"/>
        <v>143</v>
      </c>
    </row>
    <row r="69" spans="1:17" x14ac:dyDescent="0.25">
      <c r="A69" t="s">
        <v>180</v>
      </c>
      <c r="B69" s="3">
        <v>46376</v>
      </c>
      <c r="C69" t="s">
        <v>181</v>
      </c>
      <c r="D69" t="s">
        <v>15</v>
      </c>
      <c r="E69" t="s">
        <v>28</v>
      </c>
      <c r="F69" t="s">
        <v>29</v>
      </c>
      <c r="G69">
        <v>4</v>
      </c>
      <c r="H69">
        <v>1600</v>
      </c>
      <c r="I69">
        <v>5</v>
      </c>
      <c r="J69">
        <v>6080</v>
      </c>
      <c r="K69">
        <v>3468.76</v>
      </c>
      <c r="L69">
        <v>2611.2399999999998</v>
      </c>
      <c r="M69" t="s">
        <v>30</v>
      </c>
      <c r="N69">
        <f t="shared" si="4"/>
        <v>11864485</v>
      </c>
      <c r="O69">
        <f t="shared" si="5"/>
        <v>3665939.3899999992</v>
      </c>
      <c r="P69">
        <f t="shared" si="6"/>
        <v>433</v>
      </c>
      <c r="Q69">
        <f t="shared" si="7"/>
        <v>143</v>
      </c>
    </row>
    <row r="70" spans="1:17" x14ac:dyDescent="0.25">
      <c r="A70" t="s">
        <v>182</v>
      </c>
      <c r="B70" s="3">
        <v>46242</v>
      </c>
      <c r="C70" t="s">
        <v>183</v>
      </c>
      <c r="D70" t="s">
        <v>15</v>
      </c>
      <c r="E70" t="s">
        <v>28</v>
      </c>
      <c r="F70" t="s">
        <v>78</v>
      </c>
      <c r="G70">
        <v>5</v>
      </c>
      <c r="H70">
        <v>1750</v>
      </c>
      <c r="I70">
        <v>0</v>
      </c>
      <c r="J70">
        <v>8750</v>
      </c>
      <c r="K70">
        <v>5632.77</v>
      </c>
      <c r="L70">
        <v>3117.23</v>
      </c>
      <c r="M70" t="s">
        <v>18</v>
      </c>
      <c r="N70">
        <f t="shared" si="4"/>
        <v>11858405</v>
      </c>
      <c r="O70">
        <f t="shared" si="5"/>
        <v>3663328.149999999</v>
      </c>
      <c r="P70">
        <f t="shared" si="6"/>
        <v>432</v>
      </c>
      <c r="Q70">
        <f t="shared" si="7"/>
        <v>143</v>
      </c>
    </row>
    <row r="71" spans="1:17" x14ac:dyDescent="0.25">
      <c r="A71" t="s">
        <v>184</v>
      </c>
      <c r="B71" s="3">
        <v>46208</v>
      </c>
      <c r="C71" t="s">
        <v>185</v>
      </c>
      <c r="D71" t="s">
        <v>68</v>
      </c>
      <c r="E71" t="s">
        <v>34</v>
      </c>
      <c r="F71" t="s">
        <v>38</v>
      </c>
      <c r="G71">
        <v>4</v>
      </c>
      <c r="H71">
        <v>4400</v>
      </c>
      <c r="I71">
        <v>0</v>
      </c>
      <c r="J71">
        <v>17600</v>
      </c>
      <c r="K71">
        <v>11740.1</v>
      </c>
      <c r="L71">
        <v>5859.9</v>
      </c>
      <c r="M71" t="s">
        <v>63</v>
      </c>
      <c r="N71">
        <f t="shared" si="4"/>
        <v>11849655</v>
      </c>
      <c r="O71">
        <f t="shared" si="5"/>
        <v>3660210.919999999</v>
      </c>
      <c r="P71">
        <f t="shared" si="6"/>
        <v>431</v>
      </c>
      <c r="Q71">
        <f t="shared" si="7"/>
        <v>143</v>
      </c>
    </row>
    <row r="72" spans="1:17" x14ac:dyDescent="0.25">
      <c r="A72" t="s">
        <v>186</v>
      </c>
      <c r="B72" s="3">
        <v>46261</v>
      </c>
      <c r="C72" t="s">
        <v>136</v>
      </c>
      <c r="D72" t="s">
        <v>52</v>
      </c>
      <c r="E72" t="s">
        <v>55</v>
      </c>
      <c r="F72" t="s">
        <v>179</v>
      </c>
      <c r="G72">
        <v>3</v>
      </c>
      <c r="H72">
        <v>10600</v>
      </c>
      <c r="I72">
        <v>20</v>
      </c>
      <c r="J72">
        <v>25440</v>
      </c>
      <c r="K72">
        <v>19312.86</v>
      </c>
      <c r="L72">
        <v>6127.14</v>
      </c>
      <c r="M72" t="s">
        <v>30</v>
      </c>
      <c r="N72">
        <f t="shared" si="4"/>
        <v>11832055</v>
      </c>
      <c r="O72">
        <f t="shared" si="5"/>
        <v>3654351.0199999986</v>
      </c>
      <c r="P72">
        <f t="shared" si="6"/>
        <v>430</v>
      </c>
      <c r="Q72">
        <f t="shared" si="7"/>
        <v>143</v>
      </c>
    </row>
    <row r="73" spans="1:17" x14ac:dyDescent="0.25">
      <c r="A73" t="s">
        <v>187</v>
      </c>
      <c r="B73" s="3">
        <v>46260</v>
      </c>
      <c r="C73" t="s">
        <v>188</v>
      </c>
      <c r="D73" t="s">
        <v>52</v>
      </c>
      <c r="E73" t="s">
        <v>34</v>
      </c>
      <c r="F73" t="s">
        <v>35</v>
      </c>
      <c r="G73">
        <v>1</v>
      </c>
      <c r="H73">
        <v>2700</v>
      </c>
      <c r="I73">
        <v>15</v>
      </c>
      <c r="J73">
        <v>2295</v>
      </c>
      <c r="K73">
        <v>1413.36</v>
      </c>
      <c r="L73">
        <v>881.64</v>
      </c>
      <c r="M73" t="s">
        <v>63</v>
      </c>
      <c r="N73">
        <f t="shared" si="4"/>
        <v>11806615</v>
      </c>
      <c r="O73">
        <f t="shared" si="5"/>
        <v>3648223.879999999</v>
      </c>
      <c r="P73">
        <f t="shared" si="6"/>
        <v>429</v>
      </c>
      <c r="Q73">
        <f t="shared" si="7"/>
        <v>143</v>
      </c>
    </row>
    <row r="74" spans="1:17" x14ac:dyDescent="0.25">
      <c r="A74" t="s">
        <v>189</v>
      </c>
      <c r="B74" s="3">
        <v>46204</v>
      </c>
      <c r="C74" t="s">
        <v>190</v>
      </c>
      <c r="D74" t="s">
        <v>33</v>
      </c>
      <c r="E74" t="s">
        <v>34</v>
      </c>
      <c r="F74" t="s">
        <v>38</v>
      </c>
      <c r="G74">
        <v>4</v>
      </c>
      <c r="H74">
        <v>3050</v>
      </c>
      <c r="I74">
        <v>5</v>
      </c>
      <c r="J74">
        <v>11590</v>
      </c>
      <c r="K74">
        <v>7900.19</v>
      </c>
      <c r="L74">
        <v>3689.81</v>
      </c>
      <c r="M74" t="s">
        <v>30</v>
      </c>
      <c r="N74">
        <f t="shared" si="4"/>
        <v>11804320</v>
      </c>
      <c r="O74">
        <f t="shared" si="5"/>
        <v>3647342.2399999988</v>
      </c>
      <c r="P74">
        <f t="shared" si="6"/>
        <v>428</v>
      </c>
      <c r="Q74">
        <f t="shared" si="7"/>
        <v>143</v>
      </c>
    </row>
    <row r="75" spans="1:17" x14ac:dyDescent="0.25">
      <c r="A75" t="s">
        <v>191</v>
      </c>
      <c r="B75" s="3">
        <v>46066</v>
      </c>
      <c r="C75" t="s">
        <v>74</v>
      </c>
      <c r="D75" t="s">
        <v>27</v>
      </c>
      <c r="E75" t="s">
        <v>28</v>
      </c>
      <c r="F75" t="s">
        <v>41</v>
      </c>
      <c r="G75">
        <v>5</v>
      </c>
      <c r="H75">
        <v>150</v>
      </c>
      <c r="I75">
        <v>20</v>
      </c>
      <c r="J75">
        <v>600</v>
      </c>
      <c r="K75">
        <v>483.59</v>
      </c>
      <c r="L75">
        <v>116.41</v>
      </c>
      <c r="M75" t="s">
        <v>63</v>
      </c>
      <c r="N75">
        <f t="shared" si="4"/>
        <v>11792730</v>
      </c>
      <c r="O75">
        <f t="shared" si="5"/>
        <v>3643652.4299999988</v>
      </c>
      <c r="P75">
        <f t="shared" si="6"/>
        <v>427</v>
      </c>
      <c r="Q75">
        <f t="shared" si="7"/>
        <v>143</v>
      </c>
    </row>
    <row r="76" spans="1:17" x14ac:dyDescent="0.25">
      <c r="A76" t="s">
        <v>192</v>
      </c>
      <c r="B76" s="3">
        <v>46031</v>
      </c>
      <c r="C76" t="s">
        <v>193</v>
      </c>
      <c r="D76" t="s">
        <v>44</v>
      </c>
      <c r="E76" t="s">
        <v>28</v>
      </c>
      <c r="F76" t="s">
        <v>49</v>
      </c>
      <c r="G76">
        <v>4</v>
      </c>
      <c r="H76">
        <v>1450</v>
      </c>
      <c r="I76">
        <v>15</v>
      </c>
      <c r="J76">
        <v>4930</v>
      </c>
      <c r="K76">
        <v>3308.07</v>
      </c>
      <c r="L76">
        <v>1621.93</v>
      </c>
      <c r="M76" t="s">
        <v>24</v>
      </c>
      <c r="N76">
        <f t="shared" si="4"/>
        <v>11792130</v>
      </c>
      <c r="O76">
        <f t="shared" si="5"/>
        <v>3643536.0199999986</v>
      </c>
      <c r="P76">
        <f t="shared" si="6"/>
        <v>426</v>
      </c>
      <c r="Q76">
        <f t="shared" si="7"/>
        <v>143</v>
      </c>
    </row>
    <row r="77" spans="1:17" x14ac:dyDescent="0.25">
      <c r="A77" t="s">
        <v>194</v>
      </c>
      <c r="B77" s="3">
        <v>46306</v>
      </c>
      <c r="C77" t="s">
        <v>115</v>
      </c>
      <c r="D77" t="s">
        <v>33</v>
      </c>
      <c r="E77" t="s">
        <v>22</v>
      </c>
      <c r="F77" t="s">
        <v>95</v>
      </c>
      <c r="G77">
        <v>3</v>
      </c>
      <c r="H77">
        <v>2900</v>
      </c>
      <c r="I77">
        <v>20</v>
      </c>
      <c r="J77">
        <v>6960</v>
      </c>
      <c r="K77">
        <v>4521.46</v>
      </c>
      <c r="L77">
        <v>2438.54</v>
      </c>
      <c r="M77" t="s">
        <v>63</v>
      </c>
      <c r="N77">
        <f t="shared" si="4"/>
        <v>11787200</v>
      </c>
      <c r="O77">
        <f t="shared" si="5"/>
        <v>3641914.0899999989</v>
      </c>
      <c r="P77">
        <f t="shared" si="6"/>
        <v>425</v>
      </c>
      <c r="Q77">
        <f t="shared" si="7"/>
        <v>143</v>
      </c>
    </row>
    <row r="78" spans="1:17" x14ac:dyDescent="0.25">
      <c r="A78" t="s">
        <v>195</v>
      </c>
      <c r="B78" s="3">
        <v>46151</v>
      </c>
      <c r="C78" t="s">
        <v>196</v>
      </c>
      <c r="D78" t="s">
        <v>15</v>
      </c>
      <c r="E78" t="s">
        <v>28</v>
      </c>
      <c r="F78" t="s">
        <v>41</v>
      </c>
      <c r="G78">
        <v>3</v>
      </c>
      <c r="H78">
        <v>1600</v>
      </c>
      <c r="I78">
        <v>15</v>
      </c>
      <c r="J78">
        <v>4080</v>
      </c>
      <c r="K78">
        <v>2542.44</v>
      </c>
      <c r="L78">
        <v>1537.56</v>
      </c>
      <c r="M78" t="s">
        <v>24</v>
      </c>
      <c r="N78">
        <f t="shared" si="4"/>
        <v>11780240</v>
      </c>
      <c r="O78">
        <f t="shared" si="5"/>
        <v>3639475.5499999989</v>
      </c>
      <c r="P78">
        <f t="shared" si="6"/>
        <v>424</v>
      </c>
      <c r="Q78">
        <f t="shared" si="7"/>
        <v>143</v>
      </c>
    </row>
    <row r="79" spans="1:17" x14ac:dyDescent="0.25">
      <c r="A79" t="s">
        <v>197</v>
      </c>
      <c r="B79" s="3">
        <v>46270</v>
      </c>
      <c r="C79" t="s">
        <v>198</v>
      </c>
      <c r="D79" t="s">
        <v>52</v>
      </c>
      <c r="E79" t="s">
        <v>34</v>
      </c>
      <c r="F79" t="s">
        <v>38</v>
      </c>
      <c r="G79">
        <v>5</v>
      </c>
      <c r="H79">
        <v>1900</v>
      </c>
      <c r="I79">
        <v>5</v>
      </c>
      <c r="J79">
        <v>9025</v>
      </c>
      <c r="K79">
        <v>5491.03</v>
      </c>
      <c r="L79">
        <v>3533.97</v>
      </c>
      <c r="M79" t="s">
        <v>18</v>
      </c>
      <c r="N79">
        <f t="shared" si="4"/>
        <v>11776160</v>
      </c>
      <c r="O79">
        <f t="shared" si="5"/>
        <v>3637937.9899999988</v>
      </c>
      <c r="P79">
        <f t="shared" si="6"/>
        <v>423</v>
      </c>
      <c r="Q79">
        <f t="shared" si="7"/>
        <v>143</v>
      </c>
    </row>
    <row r="80" spans="1:17" x14ac:dyDescent="0.25">
      <c r="A80" t="s">
        <v>199</v>
      </c>
      <c r="B80" s="3">
        <v>46114</v>
      </c>
      <c r="C80" t="s">
        <v>200</v>
      </c>
      <c r="D80" t="s">
        <v>75</v>
      </c>
      <c r="E80" t="s">
        <v>28</v>
      </c>
      <c r="F80" t="s">
        <v>41</v>
      </c>
      <c r="G80">
        <v>1</v>
      </c>
      <c r="H80">
        <v>550</v>
      </c>
      <c r="I80">
        <v>10</v>
      </c>
      <c r="J80">
        <v>495</v>
      </c>
      <c r="K80">
        <v>302.64999999999998</v>
      </c>
      <c r="L80">
        <v>192.35</v>
      </c>
      <c r="M80" t="s">
        <v>18</v>
      </c>
      <c r="N80">
        <f t="shared" si="4"/>
        <v>11767135</v>
      </c>
      <c r="O80">
        <f t="shared" si="5"/>
        <v>3634404.0199999982</v>
      </c>
      <c r="P80">
        <f t="shared" si="6"/>
        <v>422</v>
      </c>
      <c r="Q80">
        <f t="shared" si="7"/>
        <v>143</v>
      </c>
    </row>
    <row r="81" spans="1:17" x14ac:dyDescent="0.25">
      <c r="A81" t="s">
        <v>201</v>
      </c>
      <c r="B81" s="3">
        <v>46087</v>
      </c>
      <c r="C81" t="s">
        <v>202</v>
      </c>
      <c r="D81" t="s">
        <v>15</v>
      </c>
      <c r="E81" t="s">
        <v>55</v>
      </c>
      <c r="F81" t="s">
        <v>141</v>
      </c>
      <c r="G81">
        <v>1</v>
      </c>
      <c r="H81">
        <v>1400</v>
      </c>
      <c r="I81">
        <v>20</v>
      </c>
      <c r="J81">
        <v>1120</v>
      </c>
      <c r="K81">
        <v>704.34</v>
      </c>
      <c r="L81">
        <v>415.66</v>
      </c>
      <c r="M81" t="s">
        <v>46</v>
      </c>
      <c r="N81">
        <f t="shared" si="4"/>
        <v>11766640</v>
      </c>
      <c r="O81">
        <f t="shared" si="5"/>
        <v>3634211.6699999985</v>
      </c>
      <c r="P81">
        <f t="shared" si="6"/>
        <v>421</v>
      </c>
      <c r="Q81">
        <f t="shared" si="7"/>
        <v>143</v>
      </c>
    </row>
    <row r="82" spans="1:17" x14ac:dyDescent="0.25">
      <c r="A82" t="s">
        <v>203</v>
      </c>
      <c r="B82" s="3">
        <v>46049</v>
      </c>
      <c r="C82" t="s">
        <v>204</v>
      </c>
      <c r="D82" t="s">
        <v>59</v>
      </c>
      <c r="E82" t="s">
        <v>28</v>
      </c>
      <c r="F82" t="s">
        <v>41</v>
      </c>
      <c r="G82">
        <v>4</v>
      </c>
      <c r="H82">
        <v>1150</v>
      </c>
      <c r="I82">
        <v>15</v>
      </c>
      <c r="J82">
        <v>3910</v>
      </c>
      <c r="K82">
        <v>2510.1799999999998</v>
      </c>
      <c r="L82">
        <v>1399.82</v>
      </c>
      <c r="M82" t="s">
        <v>46</v>
      </c>
      <c r="N82">
        <f t="shared" si="4"/>
        <v>11765520</v>
      </c>
      <c r="O82">
        <f t="shared" si="5"/>
        <v>3633796.0099999984</v>
      </c>
      <c r="P82">
        <f t="shared" si="6"/>
        <v>420</v>
      </c>
      <c r="Q82">
        <f t="shared" si="7"/>
        <v>143</v>
      </c>
    </row>
    <row r="83" spans="1:17" x14ac:dyDescent="0.25">
      <c r="A83" t="s">
        <v>205</v>
      </c>
      <c r="B83" s="3">
        <v>46050</v>
      </c>
      <c r="C83" t="s">
        <v>124</v>
      </c>
      <c r="D83" t="s">
        <v>68</v>
      </c>
      <c r="E83" t="s">
        <v>16</v>
      </c>
      <c r="F83" t="s">
        <v>45</v>
      </c>
      <c r="G83">
        <v>4</v>
      </c>
      <c r="H83">
        <v>10900</v>
      </c>
      <c r="I83">
        <v>20</v>
      </c>
      <c r="J83">
        <v>34880</v>
      </c>
      <c r="K83">
        <v>25111.87</v>
      </c>
      <c r="L83">
        <v>9768.1299999999992</v>
      </c>
      <c r="M83" t="s">
        <v>18</v>
      </c>
      <c r="N83">
        <f t="shared" si="4"/>
        <v>11761610</v>
      </c>
      <c r="O83">
        <f t="shared" si="5"/>
        <v>3632396.1899999985</v>
      </c>
      <c r="P83">
        <f t="shared" si="6"/>
        <v>419</v>
      </c>
      <c r="Q83">
        <f t="shared" si="7"/>
        <v>143</v>
      </c>
    </row>
    <row r="84" spans="1:17" x14ac:dyDescent="0.25">
      <c r="A84" t="s">
        <v>206</v>
      </c>
      <c r="B84" s="3">
        <v>46333</v>
      </c>
      <c r="C84" t="s">
        <v>207</v>
      </c>
      <c r="D84" t="s">
        <v>21</v>
      </c>
      <c r="E84" t="s">
        <v>34</v>
      </c>
      <c r="F84" t="s">
        <v>38</v>
      </c>
      <c r="G84">
        <v>2</v>
      </c>
      <c r="H84">
        <v>1350</v>
      </c>
      <c r="I84">
        <v>20</v>
      </c>
      <c r="J84">
        <v>2160</v>
      </c>
      <c r="K84">
        <v>1633.82</v>
      </c>
      <c r="L84">
        <v>526.17999999999995</v>
      </c>
      <c r="M84" t="s">
        <v>63</v>
      </c>
      <c r="N84">
        <f t="shared" si="4"/>
        <v>11726730</v>
      </c>
      <c r="O84">
        <f t="shared" si="5"/>
        <v>3622628.0599999982</v>
      </c>
      <c r="P84">
        <f t="shared" si="6"/>
        <v>418</v>
      </c>
      <c r="Q84">
        <f t="shared" si="7"/>
        <v>143</v>
      </c>
    </row>
    <row r="85" spans="1:17" x14ac:dyDescent="0.25">
      <c r="A85" t="s">
        <v>208</v>
      </c>
      <c r="B85" s="3">
        <v>46340</v>
      </c>
      <c r="C85" t="s">
        <v>85</v>
      </c>
      <c r="D85" t="s">
        <v>52</v>
      </c>
      <c r="E85" t="s">
        <v>22</v>
      </c>
      <c r="F85" t="s">
        <v>165</v>
      </c>
      <c r="G85">
        <v>3</v>
      </c>
      <c r="H85">
        <v>2600</v>
      </c>
      <c r="I85">
        <v>15</v>
      </c>
      <c r="J85">
        <v>6630</v>
      </c>
      <c r="K85">
        <v>4193.16</v>
      </c>
      <c r="L85">
        <v>2436.84</v>
      </c>
      <c r="M85" t="s">
        <v>46</v>
      </c>
      <c r="N85">
        <f t="shared" si="4"/>
        <v>11724570</v>
      </c>
      <c r="O85">
        <f t="shared" si="5"/>
        <v>3622101.879999998</v>
      </c>
      <c r="P85">
        <f t="shared" si="6"/>
        <v>417</v>
      </c>
      <c r="Q85">
        <f t="shared" si="7"/>
        <v>143</v>
      </c>
    </row>
    <row r="86" spans="1:17" x14ac:dyDescent="0.25">
      <c r="A86" t="s">
        <v>209</v>
      </c>
      <c r="B86" s="3">
        <v>46111</v>
      </c>
      <c r="C86" t="s">
        <v>210</v>
      </c>
      <c r="D86" t="s">
        <v>15</v>
      </c>
      <c r="E86" t="s">
        <v>55</v>
      </c>
      <c r="F86" t="s">
        <v>97</v>
      </c>
      <c r="G86">
        <v>3</v>
      </c>
      <c r="H86">
        <v>11300</v>
      </c>
      <c r="I86">
        <v>0</v>
      </c>
      <c r="J86">
        <v>33900</v>
      </c>
      <c r="K86">
        <v>20082.54</v>
      </c>
      <c r="L86">
        <v>13817.46</v>
      </c>
      <c r="M86" t="s">
        <v>24</v>
      </c>
      <c r="N86">
        <f t="shared" si="4"/>
        <v>11717940</v>
      </c>
      <c r="O86">
        <f t="shared" si="5"/>
        <v>3619665.0399999982</v>
      </c>
      <c r="P86">
        <f t="shared" si="6"/>
        <v>416</v>
      </c>
      <c r="Q86">
        <f t="shared" si="7"/>
        <v>143</v>
      </c>
    </row>
    <row r="87" spans="1:17" x14ac:dyDescent="0.25">
      <c r="A87" t="s">
        <v>211</v>
      </c>
      <c r="B87" s="3">
        <v>46170</v>
      </c>
      <c r="C87" t="s">
        <v>212</v>
      </c>
      <c r="D87" t="s">
        <v>59</v>
      </c>
      <c r="E87" t="s">
        <v>16</v>
      </c>
      <c r="F87" t="s">
        <v>45</v>
      </c>
      <c r="G87">
        <v>4</v>
      </c>
      <c r="H87">
        <v>62800</v>
      </c>
      <c r="I87">
        <v>10</v>
      </c>
      <c r="J87">
        <v>226080</v>
      </c>
      <c r="K87">
        <v>126336.39</v>
      </c>
      <c r="L87">
        <v>99743.61</v>
      </c>
      <c r="M87" t="s">
        <v>46</v>
      </c>
      <c r="N87">
        <f t="shared" si="4"/>
        <v>11684040</v>
      </c>
      <c r="O87">
        <f t="shared" si="5"/>
        <v>3605847.5799999982</v>
      </c>
      <c r="P87">
        <f t="shared" si="6"/>
        <v>415</v>
      </c>
      <c r="Q87">
        <f t="shared" si="7"/>
        <v>143</v>
      </c>
    </row>
    <row r="88" spans="1:17" x14ac:dyDescent="0.25">
      <c r="A88" t="s">
        <v>213</v>
      </c>
      <c r="B88" s="3">
        <v>46301</v>
      </c>
      <c r="C88" t="s">
        <v>207</v>
      </c>
      <c r="D88" t="s">
        <v>68</v>
      </c>
      <c r="E88" t="s">
        <v>55</v>
      </c>
      <c r="F88" t="s">
        <v>141</v>
      </c>
      <c r="G88">
        <v>5</v>
      </c>
      <c r="H88">
        <v>11350</v>
      </c>
      <c r="I88">
        <v>5</v>
      </c>
      <c r="J88">
        <v>53912.5</v>
      </c>
      <c r="K88">
        <v>35840.36</v>
      </c>
      <c r="L88">
        <v>18072.14</v>
      </c>
      <c r="M88" t="s">
        <v>30</v>
      </c>
      <c r="N88">
        <f t="shared" si="4"/>
        <v>11457960</v>
      </c>
      <c r="O88">
        <f t="shared" si="5"/>
        <v>3506103.9699999979</v>
      </c>
      <c r="P88">
        <f t="shared" si="6"/>
        <v>414</v>
      </c>
      <c r="Q88">
        <f t="shared" si="7"/>
        <v>143</v>
      </c>
    </row>
    <row r="89" spans="1:17" x14ac:dyDescent="0.25">
      <c r="A89" t="s">
        <v>214</v>
      </c>
      <c r="B89" s="3">
        <v>46314</v>
      </c>
      <c r="C89" t="s">
        <v>145</v>
      </c>
      <c r="D89" t="s">
        <v>59</v>
      </c>
      <c r="E89" t="s">
        <v>55</v>
      </c>
      <c r="F89" t="s">
        <v>132</v>
      </c>
      <c r="G89">
        <v>1</v>
      </c>
      <c r="H89">
        <v>3200</v>
      </c>
      <c r="I89">
        <v>10</v>
      </c>
      <c r="J89">
        <v>2880</v>
      </c>
      <c r="K89">
        <v>2046.71</v>
      </c>
      <c r="L89">
        <v>833.29</v>
      </c>
      <c r="M89" t="s">
        <v>46</v>
      </c>
      <c r="N89">
        <f t="shared" si="4"/>
        <v>11404047.5</v>
      </c>
      <c r="O89">
        <f t="shared" si="5"/>
        <v>3488031.8299999982</v>
      </c>
      <c r="P89">
        <f t="shared" si="6"/>
        <v>413</v>
      </c>
      <c r="Q89">
        <f t="shared" si="7"/>
        <v>143</v>
      </c>
    </row>
    <row r="90" spans="1:17" x14ac:dyDescent="0.25">
      <c r="A90" t="s">
        <v>215</v>
      </c>
      <c r="B90" s="3">
        <v>46247</v>
      </c>
      <c r="C90" t="s">
        <v>37</v>
      </c>
      <c r="D90" t="s">
        <v>52</v>
      </c>
      <c r="E90" t="s">
        <v>22</v>
      </c>
      <c r="F90" t="s">
        <v>83</v>
      </c>
      <c r="G90">
        <v>4</v>
      </c>
      <c r="H90">
        <v>1300</v>
      </c>
      <c r="I90">
        <v>20</v>
      </c>
      <c r="J90">
        <v>4160</v>
      </c>
      <c r="K90">
        <v>2894.51</v>
      </c>
      <c r="L90">
        <v>1265.49</v>
      </c>
      <c r="M90" t="s">
        <v>46</v>
      </c>
      <c r="N90">
        <f t="shared" si="4"/>
        <v>11401167.5</v>
      </c>
      <c r="O90">
        <f t="shared" si="5"/>
        <v>3487198.5399999982</v>
      </c>
      <c r="P90">
        <f t="shared" si="6"/>
        <v>412</v>
      </c>
      <c r="Q90">
        <f t="shared" si="7"/>
        <v>143</v>
      </c>
    </row>
    <row r="91" spans="1:17" x14ac:dyDescent="0.25">
      <c r="A91" t="s">
        <v>216</v>
      </c>
      <c r="B91" s="3">
        <v>46368</v>
      </c>
      <c r="C91" t="s">
        <v>217</v>
      </c>
      <c r="D91" t="s">
        <v>52</v>
      </c>
      <c r="E91" t="s">
        <v>22</v>
      </c>
      <c r="F91" t="s">
        <v>83</v>
      </c>
      <c r="G91">
        <v>5</v>
      </c>
      <c r="H91">
        <v>1200</v>
      </c>
      <c r="I91">
        <v>0</v>
      </c>
      <c r="J91">
        <v>6000</v>
      </c>
      <c r="K91">
        <v>3447.95</v>
      </c>
      <c r="L91">
        <v>2552.0500000000002</v>
      </c>
      <c r="M91" t="s">
        <v>46</v>
      </c>
      <c r="N91">
        <f t="shared" si="4"/>
        <v>11397007.5</v>
      </c>
      <c r="O91">
        <f t="shared" si="5"/>
        <v>3485933.049999998</v>
      </c>
      <c r="P91">
        <f t="shared" si="6"/>
        <v>411</v>
      </c>
      <c r="Q91">
        <f t="shared" si="7"/>
        <v>143</v>
      </c>
    </row>
    <row r="92" spans="1:17" x14ac:dyDescent="0.25">
      <c r="A92" t="s">
        <v>218</v>
      </c>
      <c r="B92" s="3">
        <v>46249</v>
      </c>
      <c r="C92" t="s">
        <v>131</v>
      </c>
      <c r="D92" t="s">
        <v>68</v>
      </c>
      <c r="E92" t="s">
        <v>34</v>
      </c>
      <c r="F92" t="s">
        <v>60</v>
      </c>
      <c r="G92">
        <v>1</v>
      </c>
      <c r="H92">
        <v>1850</v>
      </c>
      <c r="I92">
        <v>15</v>
      </c>
      <c r="J92">
        <v>1572.5</v>
      </c>
      <c r="K92">
        <v>1085.21</v>
      </c>
      <c r="L92">
        <v>487.29</v>
      </c>
      <c r="M92" t="s">
        <v>18</v>
      </c>
      <c r="N92">
        <f t="shared" si="4"/>
        <v>11391007.5</v>
      </c>
      <c r="O92">
        <f t="shared" si="5"/>
        <v>3483380.9999999981</v>
      </c>
      <c r="P92">
        <f t="shared" si="6"/>
        <v>410</v>
      </c>
      <c r="Q92">
        <f t="shared" si="7"/>
        <v>143</v>
      </c>
    </row>
    <row r="93" spans="1:17" x14ac:dyDescent="0.25">
      <c r="A93" t="s">
        <v>219</v>
      </c>
      <c r="B93" s="3">
        <v>46187</v>
      </c>
      <c r="C93" t="s">
        <v>220</v>
      </c>
      <c r="D93" t="s">
        <v>68</v>
      </c>
      <c r="E93" t="s">
        <v>22</v>
      </c>
      <c r="F93" t="s">
        <v>165</v>
      </c>
      <c r="G93">
        <v>1</v>
      </c>
      <c r="H93">
        <v>2100</v>
      </c>
      <c r="I93">
        <v>10</v>
      </c>
      <c r="J93">
        <v>1890</v>
      </c>
      <c r="K93">
        <v>1247.8800000000001</v>
      </c>
      <c r="L93">
        <v>642.12</v>
      </c>
      <c r="M93" t="s">
        <v>30</v>
      </c>
      <c r="N93">
        <f t="shared" si="4"/>
        <v>11389435</v>
      </c>
      <c r="O93">
        <f t="shared" si="5"/>
        <v>3482893.7099999981</v>
      </c>
      <c r="P93">
        <f t="shared" si="6"/>
        <v>409</v>
      </c>
      <c r="Q93">
        <f t="shared" si="7"/>
        <v>143</v>
      </c>
    </row>
    <row r="94" spans="1:17" x14ac:dyDescent="0.25">
      <c r="A94" t="s">
        <v>221</v>
      </c>
      <c r="B94" s="3">
        <v>46304</v>
      </c>
      <c r="C94" t="s">
        <v>222</v>
      </c>
      <c r="D94" t="s">
        <v>59</v>
      </c>
      <c r="E94" t="s">
        <v>22</v>
      </c>
      <c r="F94" t="s">
        <v>165</v>
      </c>
      <c r="G94">
        <v>3</v>
      </c>
      <c r="H94">
        <v>2900</v>
      </c>
      <c r="I94">
        <v>15</v>
      </c>
      <c r="J94">
        <v>7395</v>
      </c>
      <c r="K94">
        <v>5691.66</v>
      </c>
      <c r="L94">
        <v>1703.34</v>
      </c>
      <c r="M94" t="s">
        <v>46</v>
      </c>
      <c r="N94">
        <f t="shared" si="4"/>
        <v>11387545</v>
      </c>
      <c r="O94">
        <f t="shared" si="5"/>
        <v>3482251.589999998</v>
      </c>
      <c r="P94">
        <f t="shared" si="6"/>
        <v>408</v>
      </c>
      <c r="Q94">
        <f t="shared" si="7"/>
        <v>143</v>
      </c>
    </row>
    <row r="95" spans="1:17" x14ac:dyDescent="0.25">
      <c r="A95" t="s">
        <v>223</v>
      </c>
      <c r="B95" s="3">
        <v>46023</v>
      </c>
      <c r="C95" t="s">
        <v>71</v>
      </c>
      <c r="D95" t="s">
        <v>59</v>
      </c>
      <c r="E95" t="s">
        <v>34</v>
      </c>
      <c r="F95" t="s">
        <v>116</v>
      </c>
      <c r="G95">
        <v>3</v>
      </c>
      <c r="H95">
        <v>1350</v>
      </c>
      <c r="I95">
        <v>15</v>
      </c>
      <c r="J95">
        <v>3442.5</v>
      </c>
      <c r="K95">
        <v>2697.29</v>
      </c>
      <c r="L95">
        <v>745.21</v>
      </c>
      <c r="M95" t="s">
        <v>63</v>
      </c>
      <c r="N95">
        <f t="shared" si="4"/>
        <v>11380150</v>
      </c>
      <c r="O95">
        <f t="shared" si="5"/>
        <v>3480548.2499999977</v>
      </c>
      <c r="P95">
        <f t="shared" si="6"/>
        <v>407</v>
      </c>
      <c r="Q95">
        <f t="shared" si="7"/>
        <v>143</v>
      </c>
    </row>
    <row r="96" spans="1:17" x14ac:dyDescent="0.25">
      <c r="A96" t="s">
        <v>224</v>
      </c>
      <c r="B96" s="3">
        <v>46343</v>
      </c>
      <c r="C96" t="s">
        <v>225</v>
      </c>
      <c r="D96" t="s">
        <v>75</v>
      </c>
      <c r="E96" t="s">
        <v>16</v>
      </c>
      <c r="F96" t="s">
        <v>107</v>
      </c>
      <c r="G96">
        <v>5</v>
      </c>
      <c r="H96">
        <v>48600</v>
      </c>
      <c r="I96">
        <v>20</v>
      </c>
      <c r="J96">
        <v>194400</v>
      </c>
      <c r="K96">
        <v>146624.19</v>
      </c>
      <c r="L96">
        <v>47775.81</v>
      </c>
      <c r="M96" t="s">
        <v>24</v>
      </c>
      <c r="N96">
        <f t="shared" si="4"/>
        <v>11376707.5</v>
      </c>
      <c r="O96">
        <f t="shared" si="5"/>
        <v>3479803.0399999977</v>
      </c>
      <c r="P96">
        <f t="shared" si="6"/>
        <v>406</v>
      </c>
      <c r="Q96">
        <f t="shared" si="7"/>
        <v>143</v>
      </c>
    </row>
    <row r="97" spans="1:17" x14ac:dyDescent="0.25">
      <c r="A97" t="s">
        <v>226</v>
      </c>
      <c r="B97" s="3">
        <v>46271</v>
      </c>
      <c r="C97" t="s">
        <v>140</v>
      </c>
      <c r="D97" t="s">
        <v>75</v>
      </c>
      <c r="E97" t="s">
        <v>34</v>
      </c>
      <c r="F97" t="s">
        <v>60</v>
      </c>
      <c r="G97">
        <v>2</v>
      </c>
      <c r="H97">
        <v>2750</v>
      </c>
      <c r="I97">
        <v>15</v>
      </c>
      <c r="J97">
        <v>4675</v>
      </c>
      <c r="K97">
        <v>3683.1</v>
      </c>
      <c r="L97">
        <v>991.9</v>
      </c>
      <c r="M97" t="s">
        <v>18</v>
      </c>
      <c r="N97">
        <f t="shared" si="4"/>
        <v>11182307.5</v>
      </c>
      <c r="O97">
        <f t="shared" si="5"/>
        <v>3432027.2299999977</v>
      </c>
      <c r="P97">
        <f t="shared" si="6"/>
        <v>405</v>
      </c>
      <c r="Q97">
        <f t="shared" si="7"/>
        <v>143</v>
      </c>
    </row>
    <row r="98" spans="1:17" x14ac:dyDescent="0.25">
      <c r="A98" t="s">
        <v>227</v>
      </c>
      <c r="B98" s="3">
        <v>46070</v>
      </c>
      <c r="C98" t="s">
        <v>207</v>
      </c>
      <c r="D98" t="s">
        <v>15</v>
      </c>
      <c r="E98" t="s">
        <v>55</v>
      </c>
      <c r="F98" t="s">
        <v>97</v>
      </c>
      <c r="G98">
        <v>3</v>
      </c>
      <c r="H98">
        <v>9500</v>
      </c>
      <c r="I98">
        <v>0</v>
      </c>
      <c r="J98">
        <v>28500</v>
      </c>
      <c r="K98">
        <v>19924.57</v>
      </c>
      <c r="L98">
        <v>8575.43</v>
      </c>
      <c r="M98" t="s">
        <v>63</v>
      </c>
      <c r="N98">
        <f t="shared" si="4"/>
        <v>11177632.5</v>
      </c>
      <c r="O98">
        <f t="shared" si="5"/>
        <v>3431035.3299999977</v>
      </c>
      <c r="P98">
        <f t="shared" si="6"/>
        <v>404</v>
      </c>
      <c r="Q98">
        <f t="shared" si="7"/>
        <v>142</v>
      </c>
    </row>
    <row r="99" spans="1:17" x14ac:dyDescent="0.25">
      <c r="A99" t="s">
        <v>228</v>
      </c>
      <c r="B99" s="3">
        <v>46235</v>
      </c>
      <c r="C99" t="s">
        <v>229</v>
      </c>
      <c r="D99" t="s">
        <v>59</v>
      </c>
      <c r="E99" t="s">
        <v>16</v>
      </c>
      <c r="F99" t="s">
        <v>107</v>
      </c>
      <c r="G99">
        <v>4</v>
      </c>
      <c r="H99">
        <v>39450</v>
      </c>
      <c r="I99">
        <v>20</v>
      </c>
      <c r="J99">
        <v>126240</v>
      </c>
      <c r="K99">
        <v>93475.81</v>
      </c>
      <c r="L99">
        <v>32764.19</v>
      </c>
      <c r="M99" t="s">
        <v>24</v>
      </c>
      <c r="N99">
        <f t="shared" si="4"/>
        <v>11149132.5</v>
      </c>
      <c r="O99">
        <f t="shared" si="5"/>
        <v>3422459.8999999976</v>
      </c>
      <c r="P99">
        <f t="shared" si="6"/>
        <v>403</v>
      </c>
      <c r="Q99">
        <f t="shared" si="7"/>
        <v>142</v>
      </c>
    </row>
    <row r="100" spans="1:17" x14ac:dyDescent="0.25">
      <c r="A100" t="s">
        <v>230</v>
      </c>
      <c r="B100" s="3">
        <v>46283</v>
      </c>
      <c r="C100" t="s">
        <v>231</v>
      </c>
      <c r="D100" t="s">
        <v>15</v>
      </c>
      <c r="E100" t="s">
        <v>22</v>
      </c>
      <c r="F100" t="s">
        <v>104</v>
      </c>
      <c r="G100">
        <v>2</v>
      </c>
      <c r="H100">
        <v>1750</v>
      </c>
      <c r="I100">
        <v>5</v>
      </c>
      <c r="J100">
        <v>3325</v>
      </c>
      <c r="K100">
        <v>2656.36</v>
      </c>
      <c r="L100">
        <v>668.64</v>
      </c>
      <c r="M100" t="s">
        <v>30</v>
      </c>
      <c r="N100">
        <f t="shared" si="4"/>
        <v>11022892.5</v>
      </c>
      <c r="O100">
        <f t="shared" si="5"/>
        <v>3389695.7099999976</v>
      </c>
      <c r="P100">
        <f t="shared" si="6"/>
        <v>402</v>
      </c>
      <c r="Q100">
        <f t="shared" si="7"/>
        <v>142</v>
      </c>
    </row>
    <row r="101" spans="1:17" x14ac:dyDescent="0.25">
      <c r="A101" t="s">
        <v>232</v>
      </c>
      <c r="B101" s="3">
        <v>46175</v>
      </c>
      <c r="C101" t="s">
        <v>178</v>
      </c>
      <c r="D101" t="s">
        <v>59</v>
      </c>
      <c r="E101" t="s">
        <v>22</v>
      </c>
      <c r="F101" t="s">
        <v>83</v>
      </c>
      <c r="G101">
        <v>5</v>
      </c>
      <c r="H101">
        <v>1300</v>
      </c>
      <c r="I101">
        <v>0</v>
      </c>
      <c r="J101">
        <v>6500</v>
      </c>
      <c r="K101">
        <v>4071.38</v>
      </c>
      <c r="L101">
        <v>2428.62</v>
      </c>
      <c r="M101" t="s">
        <v>24</v>
      </c>
      <c r="N101">
        <f t="shared" si="4"/>
        <v>11019567.5</v>
      </c>
      <c r="O101">
        <f t="shared" si="5"/>
        <v>3389027.069999998</v>
      </c>
      <c r="P101">
        <f t="shared" si="6"/>
        <v>401</v>
      </c>
      <c r="Q101">
        <f t="shared" si="7"/>
        <v>141</v>
      </c>
    </row>
    <row r="102" spans="1:17" x14ac:dyDescent="0.25">
      <c r="A102" t="s">
        <v>233</v>
      </c>
      <c r="B102" s="3">
        <v>46301</v>
      </c>
      <c r="C102" t="s">
        <v>234</v>
      </c>
      <c r="D102" t="s">
        <v>59</v>
      </c>
      <c r="E102" t="s">
        <v>22</v>
      </c>
      <c r="F102" t="s">
        <v>104</v>
      </c>
      <c r="G102">
        <v>4</v>
      </c>
      <c r="H102">
        <v>1600</v>
      </c>
      <c r="I102">
        <v>10</v>
      </c>
      <c r="J102">
        <v>5760</v>
      </c>
      <c r="K102">
        <v>4026.34</v>
      </c>
      <c r="L102">
        <v>1733.66</v>
      </c>
      <c r="M102" t="s">
        <v>30</v>
      </c>
      <c r="N102">
        <f t="shared" si="4"/>
        <v>11013067.5</v>
      </c>
      <c r="O102">
        <f t="shared" si="5"/>
        <v>3386598.4499999979</v>
      </c>
      <c r="P102">
        <f t="shared" si="6"/>
        <v>400</v>
      </c>
      <c r="Q102">
        <f t="shared" si="7"/>
        <v>141</v>
      </c>
    </row>
    <row r="103" spans="1:17" x14ac:dyDescent="0.25">
      <c r="A103" t="s">
        <v>235</v>
      </c>
      <c r="B103" s="3">
        <v>46233</v>
      </c>
      <c r="C103" t="s">
        <v>236</v>
      </c>
      <c r="D103" t="s">
        <v>33</v>
      </c>
      <c r="E103" t="s">
        <v>55</v>
      </c>
      <c r="F103" t="s">
        <v>97</v>
      </c>
      <c r="G103">
        <v>5</v>
      </c>
      <c r="H103">
        <v>6750</v>
      </c>
      <c r="I103">
        <v>5</v>
      </c>
      <c r="J103">
        <v>32062.5</v>
      </c>
      <c r="K103">
        <v>25044.77</v>
      </c>
      <c r="L103">
        <v>7017.73</v>
      </c>
      <c r="M103" t="s">
        <v>63</v>
      </c>
      <c r="N103">
        <f t="shared" si="4"/>
        <v>11007307.5</v>
      </c>
      <c r="O103">
        <f t="shared" si="5"/>
        <v>3384864.7899999977</v>
      </c>
      <c r="P103">
        <f t="shared" si="6"/>
        <v>399</v>
      </c>
      <c r="Q103">
        <f t="shared" si="7"/>
        <v>141</v>
      </c>
    </row>
    <row r="104" spans="1:17" x14ac:dyDescent="0.25">
      <c r="A104" t="s">
        <v>237</v>
      </c>
      <c r="B104" s="3">
        <v>46325</v>
      </c>
      <c r="C104" t="s">
        <v>238</v>
      </c>
      <c r="D104" t="s">
        <v>15</v>
      </c>
      <c r="E104" t="s">
        <v>22</v>
      </c>
      <c r="F104" t="s">
        <v>165</v>
      </c>
      <c r="G104">
        <v>2</v>
      </c>
      <c r="H104">
        <v>2250</v>
      </c>
      <c r="I104">
        <v>0</v>
      </c>
      <c r="J104">
        <v>4500</v>
      </c>
      <c r="K104">
        <v>2628.39</v>
      </c>
      <c r="L104">
        <v>1871.61</v>
      </c>
      <c r="M104" t="s">
        <v>63</v>
      </c>
      <c r="N104">
        <f t="shared" si="4"/>
        <v>10975245</v>
      </c>
      <c r="O104">
        <f t="shared" si="5"/>
        <v>3377847.0599999977</v>
      </c>
      <c r="P104">
        <f t="shared" si="6"/>
        <v>398</v>
      </c>
      <c r="Q104">
        <f t="shared" si="7"/>
        <v>141</v>
      </c>
    </row>
    <row r="105" spans="1:17" x14ac:dyDescent="0.25">
      <c r="A105" t="s">
        <v>239</v>
      </c>
      <c r="B105" s="3">
        <v>46358</v>
      </c>
      <c r="C105" t="s">
        <v>118</v>
      </c>
      <c r="D105" t="s">
        <v>15</v>
      </c>
      <c r="E105" t="s">
        <v>16</v>
      </c>
      <c r="F105" t="s">
        <v>240</v>
      </c>
      <c r="G105">
        <v>4</v>
      </c>
      <c r="H105">
        <v>3200</v>
      </c>
      <c r="I105">
        <v>5</v>
      </c>
      <c r="J105">
        <v>12160</v>
      </c>
      <c r="K105">
        <v>8034.04</v>
      </c>
      <c r="L105">
        <v>4125.96</v>
      </c>
      <c r="M105" t="s">
        <v>63</v>
      </c>
      <c r="N105">
        <f t="shared" si="4"/>
        <v>10970745</v>
      </c>
      <c r="O105">
        <f t="shared" si="5"/>
        <v>3375975.4499999979</v>
      </c>
      <c r="P105">
        <f t="shared" si="6"/>
        <v>397</v>
      </c>
      <c r="Q105">
        <f t="shared" si="7"/>
        <v>141</v>
      </c>
    </row>
    <row r="106" spans="1:17" x14ac:dyDescent="0.25">
      <c r="A106" t="s">
        <v>241</v>
      </c>
      <c r="B106" s="3">
        <v>46368</v>
      </c>
      <c r="C106" t="s">
        <v>242</v>
      </c>
      <c r="D106" t="s">
        <v>27</v>
      </c>
      <c r="E106" t="s">
        <v>34</v>
      </c>
      <c r="F106" t="s">
        <v>116</v>
      </c>
      <c r="G106">
        <v>5</v>
      </c>
      <c r="H106">
        <v>3650</v>
      </c>
      <c r="I106">
        <v>0</v>
      </c>
      <c r="J106">
        <v>18250</v>
      </c>
      <c r="K106">
        <v>14234.57</v>
      </c>
      <c r="L106">
        <v>4015.43</v>
      </c>
      <c r="M106" t="s">
        <v>30</v>
      </c>
      <c r="N106">
        <f t="shared" si="4"/>
        <v>10958585</v>
      </c>
      <c r="O106">
        <f t="shared" si="5"/>
        <v>3371849.4899999979</v>
      </c>
      <c r="P106">
        <f t="shared" si="6"/>
        <v>396</v>
      </c>
      <c r="Q106">
        <f t="shared" si="7"/>
        <v>141</v>
      </c>
    </row>
    <row r="107" spans="1:17" x14ac:dyDescent="0.25">
      <c r="A107" t="s">
        <v>243</v>
      </c>
      <c r="B107" s="3">
        <v>46373</v>
      </c>
      <c r="C107" t="s">
        <v>145</v>
      </c>
      <c r="D107" t="s">
        <v>80</v>
      </c>
      <c r="E107" t="s">
        <v>22</v>
      </c>
      <c r="F107" t="s">
        <v>104</v>
      </c>
      <c r="G107">
        <v>1</v>
      </c>
      <c r="H107">
        <v>2750</v>
      </c>
      <c r="I107">
        <v>0</v>
      </c>
      <c r="J107">
        <v>2750</v>
      </c>
      <c r="K107">
        <v>1686.82</v>
      </c>
      <c r="L107">
        <v>1063.18</v>
      </c>
      <c r="M107" t="s">
        <v>46</v>
      </c>
      <c r="N107">
        <f t="shared" si="4"/>
        <v>10940335</v>
      </c>
      <c r="O107">
        <f t="shared" si="5"/>
        <v>3367834.0599999977</v>
      </c>
      <c r="P107">
        <f t="shared" si="6"/>
        <v>395</v>
      </c>
      <c r="Q107">
        <f t="shared" si="7"/>
        <v>140</v>
      </c>
    </row>
    <row r="108" spans="1:17" x14ac:dyDescent="0.25">
      <c r="A108" t="s">
        <v>244</v>
      </c>
      <c r="B108" s="3">
        <v>46037</v>
      </c>
      <c r="C108" t="s">
        <v>236</v>
      </c>
      <c r="D108" t="s">
        <v>33</v>
      </c>
      <c r="E108" t="s">
        <v>22</v>
      </c>
      <c r="F108" t="s">
        <v>23</v>
      </c>
      <c r="G108">
        <v>1</v>
      </c>
      <c r="H108">
        <v>2000</v>
      </c>
      <c r="I108">
        <v>5</v>
      </c>
      <c r="J108">
        <v>1900</v>
      </c>
      <c r="K108">
        <v>1401.02</v>
      </c>
      <c r="L108">
        <v>498.98</v>
      </c>
      <c r="M108" t="s">
        <v>46</v>
      </c>
      <c r="N108">
        <f t="shared" si="4"/>
        <v>10937585</v>
      </c>
      <c r="O108">
        <f t="shared" si="5"/>
        <v>3366770.8799999976</v>
      </c>
      <c r="P108">
        <f t="shared" si="6"/>
        <v>394</v>
      </c>
      <c r="Q108">
        <f t="shared" si="7"/>
        <v>140</v>
      </c>
    </row>
    <row r="109" spans="1:17" x14ac:dyDescent="0.25">
      <c r="A109" t="s">
        <v>245</v>
      </c>
      <c r="B109" s="3">
        <v>46233</v>
      </c>
      <c r="C109" t="s">
        <v>169</v>
      </c>
      <c r="D109" t="s">
        <v>68</v>
      </c>
      <c r="E109" t="s">
        <v>34</v>
      </c>
      <c r="F109" t="s">
        <v>116</v>
      </c>
      <c r="G109">
        <v>3</v>
      </c>
      <c r="H109">
        <v>3950</v>
      </c>
      <c r="I109">
        <v>5</v>
      </c>
      <c r="J109">
        <v>11257.5</v>
      </c>
      <c r="K109">
        <v>6933.87</v>
      </c>
      <c r="L109">
        <v>4323.63</v>
      </c>
      <c r="M109" t="s">
        <v>24</v>
      </c>
      <c r="N109">
        <f t="shared" si="4"/>
        <v>10935685</v>
      </c>
      <c r="O109">
        <f t="shared" si="5"/>
        <v>3366271.8999999976</v>
      </c>
      <c r="P109">
        <f t="shared" si="6"/>
        <v>393</v>
      </c>
      <c r="Q109">
        <f t="shared" si="7"/>
        <v>140</v>
      </c>
    </row>
    <row r="110" spans="1:17" x14ac:dyDescent="0.25">
      <c r="A110" t="s">
        <v>246</v>
      </c>
      <c r="B110" s="3">
        <v>46277</v>
      </c>
      <c r="C110" t="s">
        <v>162</v>
      </c>
      <c r="D110" t="s">
        <v>68</v>
      </c>
      <c r="E110" t="s">
        <v>55</v>
      </c>
      <c r="F110" t="s">
        <v>132</v>
      </c>
      <c r="G110">
        <v>5</v>
      </c>
      <c r="H110">
        <v>6750</v>
      </c>
      <c r="I110">
        <v>20</v>
      </c>
      <c r="J110">
        <v>27000</v>
      </c>
      <c r="K110">
        <v>19830.05</v>
      </c>
      <c r="L110">
        <v>7169.95</v>
      </c>
      <c r="M110" t="s">
        <v>24</v>
      </c>
      <c r="N110">
        <f t="shared" si="4"/>
        <v>10924427.5</v>
      </c>
      <c r="O110">
        <f t="shared" si="5"/>
        <v>3361948.2699999977</v>
      </c>
      <c r="P110">
        <f t="shared" si="6"/>
        <v>392</v>
      </c>
      <c r="Q110">
        <f t="shared" si="7"/>
        <v>140</v>
      </c>
    </row>
    <row r="111" spans="1:17" x14ac:dyDescent="0.25">
      <c r="A111" t="s">
        <v>247</v>
      </c>
      <c r="B111" s="3">
        <v>46261</v>
      </c>
      <c r="C111" t="s">
        <v>145</v>
      </c>
      <c r="D111" t="s">
        <v>21</v>
      </c>
      <c r="E111" t="s">
        <v>22</v>
      </c>
      <c r="F111" t="s">
        <v>83</v>
      </c>
      <c r="G111">
        <v>4</v>
      </c>
      <c r="H111">
        <v>1250</v>
      </c>
      <c r="I111">
        <v>0</v>
      </c>
      <c r="J111">
        <v>5000</v>
      </c>
      <c r="K111">
        <v>3963.53</v>
      </c>
      <c r="L111">
        <v>1036.47</v>
      </c>
      <c r="M111" t="s">
        <v>24</v>
      </c>
      <c r="N111">
        <f t="shared" si="4"/>
        <v>10897427.5</v>
      </c>
      <c r="O111">
        <f t="shared" si="5"/>
        <v>3354778.3199999975</v>
      </c>
      <c r="P111">
        <f t="shared" si="6"/>
        <v>391</v>
      </c>
      <c r="Q111">
        <f t="shared" si="7"/>
        <v>140</v>
      </c>
    </row>
    <row r="112" spans="1:17" x14ac:dyDescent="0.25">
      <c r="A112" t="s">
        <v>248</v>
      </c>
      <c r="B112" s="3">
        <v>46256</v>
      </c>
      <c r="C112" t="s">
        <v>200</v>
      </c>
      <c r="D112" t="s">
        <v>80</v>
      </c>
      <c r="E112" t="s">
        <v>16</v>
      </c>
      <c r="F112" t="s">
        <v>45</v>
      </c>
      <c r="G112">
        <v>3</v>
      </c>
      <c r="H112">
        <v>40400</v>
      </c>
      <c r="I112">
        <v>15</v>
      </c>
      <c r="J112">
        <v>103020</v>
      </c>
      <c r="K112">
        <v>75862.350000000006</v>
      </c>
      <c r="L112">
        <v>27157.65</v>
      </c>
      <c r="M112" t="s">
        <v>63</v>
      </c>
      <c r="N112">
        <f t="shared" si="4"/>
        <v>10892427.5</v>
      </c>
      <c r="O112">
        <f t="shared" si="5"/>
        <v>3353741.8499999978</v>
      </c>
      <c r="P112">
        <f t="shared" si="6"/>
        <v>390</v>
      </c>
      <c r="Q112">
        <f t="shared" si="7"/>
        <v>140</v>
      </c>
    </row>
    <row r="113" spans="1:17" x14ac:dyDescent="0.25">
      <c r="A113" t="s">
        <v>249</v>
      </c>
      <c r="B113" s="3">
        <v>46174</v>
      </c>
      <c r="C113" t="s">
        <v>250</v>
      </c>
      <c r="D113" t="s">
        <v>75</v>
      </c>
      <c r="E113" t="s">
        <v>22</v>
      </c>
      <c r="F113" t="s">
        <v>23</v>
      </c>
      <c r="G113">
        <v>2</v>
      </c>
      <c r="H113">
        <v>1750</v>
      </c>
      <c r="I113">
        <v>20</v>
      </c>
      <c r="J113">
        <v>2800</v>
      </c>
      <c r="K113">
        <v>1811.37</v>
      </c>
      <c r="L113">
        <v>988.63</v>
      </c>
      <c r="M113" t="s">
        <v>63</v>
      </c>
      <c r="N113">
        <f t="shared" si="4"/>
        <v>10789407.5</v>
      </c>
      <c r="O113">
        <f t="shared" si="5"/>
        <v>3326584.1999999979</v>
      </c>
      <c r="P113">
        <f t="shared" si="6"/>
        <v>389</v>
      </c>
      <c r="Q113">
        <f t="shared" si="7"/>
        <v>140</v>
      </c>
    </row>
    <row r="114" spans="1:17" x14ac:dyDescent="0.25">
      <c r="A114" t="s">
        <v>251</v>
      </c>
      <c r="B114" s="3">
        <v>46169</v>
      </c>
      <c r="C114" t="s">
        <v>252</v>
      </c>
      <c r="D114" t="s">
        <v>52</v>
      </c>
      <c r="E114" t="s">
        <v>34</v>
      </c>
      <c r="F114" t="s">
        <v>38</v>
      </c>
      <c r="G114">
        <v>5</v>
      </c>
      <c r="H114">
        <v>800</v>
      </c>
      <c r="I114">
        <v>20</v>
      </c>
      <c r="J114">
        <v>3200</v>
      </c>
      <c r="K114">
        <v>2403.83</v>
      </c>
      <c r="L114">
        <v>796.17</v>
      </c>
      <c r="M114" t="s">
        <v>30</v>
      </c>
      <c r="N114">
        <f t="shared" si="4"/>
        <v>10786607.5</v>
      </c>
      <c r="O114">
        <f t="shared" si="5"/>
        <v>3325595.569999998</v>
      </c>
      <c r="P114">
        <f t="shared" si="6"/>
        <v>388</v>
      </c>
      <c r="Q114">
        <f t="shared" si="7"/>
        <v>140</v>
      </c>
    </row>
    <row r="115" spans="1:17" x14ac:dyDescent="0.25">
      <c r="A115" t="s">
        <v>253</v>
      </c>
      <c r="B115" s="3">
        <v>46344</v>
      </c>
      <c r="C115" t="s">
        <v>106</v>
      </c>
      <c r="D115" t="s">
        <v>44</v>
      </c>
      <c r="E115" t="s">
        <v>55</v>
      </c>
      <c r="F115" t="s">
        <v>97</v>
      </c>
      <c r="G115">
        <v>5</v>
      </c>
      <c r="H115">
        <v>4600</v>
      </c>
      <c r="I115">
        <v>5</v>
      </c>
      <c r="J115">
        <v>21850</v>
      </c>
      <c r="K115">
        <v>15723.85</v>
      </c>
      <c r="L115">
        <v>6126.15</v>
      </c>
      <c r="M115" t="s">
        <v>63</v>
      </c>
      <c r="N115">
        <f t="shared" si="4"/>
        <v>10783407.5</v>
      </c>
      <c r="O115">
        <f t="shared" si="5"/>
        <v>3324799.3999999985</v>
      </c>
      <c r="P115">
        <f t="shared" si="6"/>
        <v>387</v>
      </c>
      <c r="Q115">
        <f t="shared" si="7"/>
        <v>140</v>
      </c>
    </row>
    <row r="116" spans="1:17" x14ac:dyDescent="0.25">
      <c r="A116" t="s">
        <v>254</v>
      </c>
      <c r="B116" s="3">
        <v>46190</v>
      </c>
      <c r="C116" t="s">
        <v>160</v>
      </c>
      <c r="D116" t="s">
        <v>68</v>
      </c>
      <c r="E116" t="s">
        <v>16</v>
      </c>
      <c r="F116" t="s">
        <v>240</v>
      </c>
      <c r="G116">
        <v>3</v>
      </c>
      <c r="H116">
        <v>18400</v>
      </c>
      <c r="I116">
        <v>0</v>
      </c>
      <c r="J116">
        <v>55200</v>
      </c>
      <c r="K116">
        <v>43917.09</v>
      </c>
      <c r="L116">
        <v>11282.91</v>
      </c>
      <c r="M116" t="s">
        <v>24</v>
      </c>
      <c r="N116">
        <f t="shared" si="4"/>
        <v>10761557.5</v>
      </c>
      <c r="O116">
        <f t="shared" si="5"/>
        <v>3318673.2499999981</v>
      </c>
      <c r="P116">
        <f t="shared" si="6"/>
        <v>386</v>
      </c>
      <c r="Q116">
        <f t="shared" si="7"/>
        <v>140</v>
      </c>
    </row>
    <row r="117" spans="1:17" x14ac:dyDescent="0.25">
      <c r="A117" t="s">
        <v>255</v>
      </c>
      <c r="B117" s="3">
        <v>46107</v>
      </c>
      <c r="C117" t="s">
        <v>256</v>
      </c>
      <c r="D117" t="s">
        <v>59</v>
      </c>
      <c r="E117" t="s">
        <v>55</v>
      </c>
      <c r="F117" t="s">
        <v>179</v>
      </c>
      <c r="G117">
        <v>3</v>
      </c>
      <c r="H117">
        <v>9200</v>
      </c>
      <c r="I117">
        <v>20</v>
      </c>
      <c r="J117">
        <v>22080</v>
      </c>
      <c r="K117">
        <v>17589.84</v>
      </c>
      <c r="L117">
        <v>4490.16</v>
      </c>
      <c r="M117" t="s">
        <v>30</v>
      </c>
      <c r="N117">
        <f t="shared" si="4"/>
        <v>10706357.5</v>
      </c>
      <c r="O117">
        <f t="shared" si="5"/>
        <v>3307390.3399999985</v>
      </c>
      <c r="P117">
        <f t="shared" si="6"/>
        <v>385</v>
      </c>
      <c r="Q117">
        <f t="shared" si="7"/>
        <v>140</v>
      </c>
    </row>
    <row r="118" spans="1:17" x14ac:dyDescent="0.25">
      <c r="A118" t="s">
        <v>257</v>
      </c>
      <c r="B118" s="3">
        <v>46138</v>
      </c>
      <c r="C118" t="s">
        <v>258</v>
      </c>
      <c r="D118" t="s">
        <v>21</v>
      </c>
      <c r="E118" t="s">
        <v>34</v>
      </c>
      <c r="F118" t="s">
        <v>38</v>
      </c>
      <c r="G118">
        <v>4</v>
      </c>
      <c r="H118">
        <v>1000</v>
      </c>
      <c r="I118">
        <v>5</v>
      </c>
      <c r="J118">
        <v>3800</v>
      </c>
      <c r="K118">
        <v>2863.76</v>
      </c>
      <c r="L118">
        <v>936.24</v>
      </c>
      <c r="M118" t="s">
        <v>30</v>
      </c>
      <c r="N118">
        <f t="shared" si="4"/>
        <v>10684277.5</v>
      </c>
      <c r="O118">
        <f t="shared" si="5"/>
        <v>3302900.1799999983</v>
      </c>
      <c r="P118">
        <f t="shared" si="6"/>
        <v>384</v>
      </c>
      <c r="Q118">
        <f t="shared" si="7"/>
        <v>140</v>
      </c>
    </row>
    <row r="119" spans="1:17" x14ac:dyDescent="0.25">
      <c r="A119" t="s">
        <v>259</v>
      </c>
      <c r="B119" s="3">
        <v>46211</v>
      </c>
      <c r="C119" t="s">
        <v>260</v>
      </c>
      <c r="D119" t="s">
        <v>52</v>
      </c>
      <c r="E119" t="s">
        <v>16</v>
      </c>
      <c r="F119" t="s">
        <v>45</v>
      </c>
      <c r="G119">
        <v>1</v>
      </c>
      <c r="H119">
        <v>35850</v>
      </c>
      <c r="I119">
        <v>20</v>
      </c>
      <c r="J119">
        <v>28680</v>
      </c>
      <c r="K119">
        <v>16731.02</v>
      </c>
      <c r="L119">
        <v>11948.98</v>
      </c>
      <c r="M119" t="s">
        <v>63</v>
      </c>
      <c r="N119">
        <f t="shared" si="4"/>
        <v>10680477.5</v>
      </c>
      <c r="O119">
        <f t="shared" si="5"/>
        <v>3301963.9399999985</v>
      </c>
      <c r="P119">
        <f t="shared" si="6"/>
        <v>383</v>
      </c>
      <c r="Q119">
        <f t="shared" si="7"/>
        <v>140</v>
      </c>
    </row>
    <row r="120" spans="1:17" x14ac:dyDescent="0.25">
      <c r="A120" t="s">
        <v>261</v>
      </c>
      <c r="B120" s="3">
        <v>46310</v>
      </c>
      <c r="C120" t="s">
        <v>262</v>
      </c>
      <c r="D120" t="s">
        <v>52</v>
      </c>
      <c r="E120" t="s">
        <v>34</v>
      </c>
      <c r="F120" t="s">
        <v>38</v>
      </c>
      <c r="G120">
        <v>2</v>
      </c>
      <c r="H120">
        <v>4250</v>
      </c>
      <c r="I120">
        <v>0</v>
      </c>
      <c r="J120">
        <v>8500</v>
      </c>
      <c r="K120">
        <v>6096.86</v>
      </c>
      <c r="L120">
        <v>2403.14</v>
      </c>
      <c r="M120" t="s">
        <v>24</v>
      </c>
      <c r="N120">
        <f t="shared" si="4"/>
        <v>10651797.5</v>
      </c>
      <c r="O120">
        <f t="shared" si="5"/>
        <v>3290014.9599999986</v>
      </c>
      <c r="P120">
        <f t="shared" si="6"/>
        <v>382</v>
      </c>
      <c r="Q120">
        <f t="shared" si="7"/>
        <v>140</v>
      </c>
    </row>
    <row r="121" spans="1:17" x14ac:dyDescent="0.25">
      <c r="A121" t="s">
        <v>263</v>
      </c>
      <c r="B121" s="3">
        <v>46042</v>
      </c>
      <c r="C121" t="s">
        <v>200</v>
      </c>
      <c r="D121" t="s">
        <v>59</v>
      </c>
      <c r="E121" t="s">
        <v>16</v>
      </c>
      <c r="F121" t="s">
        <v>45</v>
      </c>
      <c r="G121">
        <v>3</v>
      </c>
      <c r="H121">
        <v>54700</v>
      </c>
      <c r="I121">
        <v>0</v>
      </c>
      <c r="J121">
        <v>164100</v>
      </c>
      <c r="K121">
        <v>96448.1</v>
      </c>
      <c r="L121">
        <v>67651.899999999994</v>
      </c>
      <c r="M121" t="s">
        <v>46</v>
      </c>
      <c r="N121">
        <f t="shared" si="4"/>
        <v>10643297.5</v>
      </c>
      <c r="O121">
        <f t="shared" si="5"/>
        <v>3287611.8199999984</v>
      </c>
      <c r="P121">
        <f t="shared" si="6"/>
        <v>381</v>
      </c>
      <c r="Q121">
        <f t="shared" si="7"/>
        <v>140</v>
      </c>
    </row>
    <row r="122" spans="1:17" x14ac:dyDescent="0.25">
      <c r="A122" t="s">
        <v>264</v>
      </c>
      <c r="B122" s="3">
        <v>46366</v>
      </c>
      <c r="C122" t="s">
        <v>71</v>
      </c>
      <c r="D122" t="s">
        <v>27</v>
      </c>
      <c r="E122" t="s">
        <v>16</v>
      </c>
      <c r="F122" t="s">
        <v>107</v>
      </c>
      <c r="G122">
        <v>5</v>
      </c>
      <c r="H122">
        <v>19000</v>
      </c>
      <c r="I122">
        <v>15</v>
      </c>
      <c r="J122">
        <v>80750</v>
      </c>
      <c r="K122">
        <v>54303.07</v>
      </c>
      <c r="L122">
        <v>26446.93</v>
      </c>
      <c r="M122" t="s">
        <v>18</v>
      </c>
      <c r="N122">
        <f t="shared" si="4"/>
        <v>10479197.5</v>
      </c>
      <c r="O122">
        <f t="shared" si="5"/>
        <v>3219959.919999999</v>
      </c>
      <c r="P122">
        <f t="shared" si="6"/>
        <v>380</v>
      </c>
      <c r="Q122">
        <f t="shared" si="7"/>
        <v>140</v>
      </c>
    </row>
    <row r="123" spans="1:17" x14ac:dyDescent="0.25">
      <c r="A123" t="s">
        <v>265</v>
      </c>
      <c r="B123" s="3">
        <v>46166</v>
      </c>
      <c r="C123" t="s">
        <v>266</v>
      </c>
      <c r="D123" t="s">
        <v>33</v>
      </c>
      <c r="E123" t="s">
        <v>55</v>
      </c>
      <c r="F123" t="s">
        <v>56</v>
      </c>
      <c r="G123">
        <v>1</v>
      </c>
      <c r="H123">
        <v>8500</v>
      </c>
      <c r="I123">
        <v>20</v>
      </c>
      <c r="J123">
        <v>6800</v>
      </c>
      <c r="K123">
        <v>4489.3</v>
      </c>
      <c r="L123">
        <v>2310.6999999999998</v>
      </c>
      <c r="M123" t="s">
        <v>24</v>
      </c>
      <c r="N123">
        <f t="shared" si="4"/>
        <v>10398447.5</v>
      </c>
      <c r="O123">
        <f t="shared" si="5"/>
        <v>3193512.9899999988</v>
      </c>
      <c r="P123">
        <f t="shared" si="6"/>
        <v>379</v>
      </c>
      <c r="Q123">
        <f t="shared" si="7"/>
        <v>140</v>
      </c>
    </row>
    <row r="124" spans="1:17" x14ac:dyDescent="0.25">
      <c r="A124" t="s">
        <v>267</v>
      </c>
      <c r="B124" s="3">
        <v>46211</v>
      </c>
      <c r="C124" t="s">
        <v>14</v>
      </c>
      <c r="D124" t="s">
        <v>33</v>
      </c>
      <c r="E124" t="s">
        <v>22</v>
      </c>
      <c r="F124" t="s">
        <v>165</v>
      </c>
      <c r="G124">
        <v>2</v>
      </c>
      <c r="H124">
        <v>1700</v>
      </c>
      <c r="I124">
        <v>0</v>
      </c>
      <c r="J124">
        <v>3400</v>
      </c>
      <c r="K124">
        <v>2770.49</v>
      </c>
      <c r="L124">
        <v>629.51</v>
      </c>
      <c r="M124" t="s">
        <v>46</v>
      </c>
      <c r="N124">
        <f t="shared" si="4"/>
        <v>10391647.5</v>
      </c>
      <c r="O124">
        <f t="shared" si="5"/>
        <v>3191202.2899999991</v>
      </c>
      <c r="P124">
        <f t="shared" si="6"/>
        <v>378</v>
      </c>
      <c r="Q124">
        <f t="shared" si="7"/>
        <v>140</v>
      </c>
    </row>
    <row r="125" spans="1:17" x14ac:dyDescent="0.25">
      <c r="A125" t="s">
        <v>268</v>
      </c>
      <c r="B125" s="3">
        <v>46131</v>
      </c>
      <c r="C125" t="s">
        <v>269</v>
      </c>
      <c r="D125" t="s">
        <v>75</v>
      </c>
      <c r="E125" t="s">
        <v>22</v>
      </c>
      <c r="F125" t="s">
        <v>83</v>
      </c>
      <c r="G125">
        <v>2</v>
      </c>
      <c r="H125">
        <v>700</v>
      </c>
      <c r="I125">
        <v>15</v>
      </c>
      <c r="J125">
        <v>1190</v>
      </c>
      <c r="K125">
        <v>683.95</v>
      </c>
      <c r="L125">
        <v>506.05</v>
      </c>
      <c r="M125" t="s">
        <v>30</v>
      </c>
      <c r="N125">
        <f t="shared" si="4"/>
        <v>10388247.5</v>
      </c>
      <c r="O125">
        <f t="shared" si="5"/>
        <v>3190572.7799999989</v>
      </c>
      <c r="P125">
        <f t="shared" si="6"/>
        <v>377</v>
      </c>
      <c r="Q125">
        <f t="shared" si="7"/>
        <v>140</v>
      </c>
    </row>
    <row r="126" spans="1:17" x14ac:dyDescent="0.25">
      <c r="A126" t="s">
        <v>270</v>
      </c>
      <c r="B126" s="3">
        <v>46306</v>
      </c>
      <c r="C126" t="s">
        <v>43</v>
      </c>
      <c r="D126" t="s">
        <v>52</v>
      </c>
      <c r="E126" t="s">
        <v>55</v>
      </c>
      <c r="F126" t="s">
        <v>97</v>
      </c>
      <c r="G126">
        <v>5</v>
      </c>
      <c r="H126">
        <v>3850</v>
      </c>
      <c r="I126">
        <v>0</v>
      </c>
      <c r="J126">
        <v>19250</v>
      </c>
      <c r="K126">
        <v>14900.48</v>
      </c>
      <c r="L126">
        <v>4349.5200000000004</v>
      </c>
      <c r="M126" t="s">
        <v>24</v>
      </c>
      <c r="N126">
        <f t="shared" si="4"/>
        <v>10387057.5</v>
      </c>
      <c r="O126">
        <f t="shared" si="5"/>
        <v>3190066.7299999991</v>
      </c>
      <c r="P126">
        <f t="shared" si="6"/>
        <v>376</v>
      </c>
      <c r="Q126">
        <f t="shared" si="7"/>
        <v>140</v>
      </c>
    </row>
    <row r="127" spans="1:17" x14ac:dyDescent="0.25">
      <c r="A127" t="s">
        <v>271</v>
      </c>
      <c r="B127" s="3">
        <v>46097</v>
      </c>
      <c r="C127" t="s">
        <v>272</v>
      </c>
      <c r="D127" t="s">
        <v>21</v>
      </c>
      <c r="E127" t="s">
        <v>55</v>
      </c>
      <c r="F127" t="s">
        <v>141</v>
      </c>
      <c r="G127">
        <v>2</v>
      </c>
      <c r="H127">
        <v>10250</v>
      </c>
      <c r="I127">
        <v>0</v>
      </c>
      <c r="J127">
        <v>20500</v>
      </c>
      <c r="K127">
        <v>12809.72</v>
      </c>
      <c r="L127">
        <v>7690.28</v>
      </c>
      <c r="M127" t="s">
        <v>30</v>
      </c>
      <c r="N127">
        <f t="shared" si="4"/>
        <v>10367807.5</v>
      </c>
      <c r="O127">
        <f t="shared" si="5"/>
        <v>3185717.209999999</v>
      </c>
      <c r="P127">
        <f t="shared" si="6"/>
        <v>375</v>
      </c>
      <c r="Q127">
        <f t="shared" si="7"/>
        <v>140</v>
      </c>
    </row>
    <row r="128" spans="1:17" x14ac:dyDescent="0.25">
      <c r="A128" t="s">
        <v>273</v>
      </c>
      <c r="B128" s="3">
        <v>46144</v>
      </c>
      <c r="C128" t="s">
        <v>274</v>
      </c>
      <c r="D128" t="s">
        <v>75</v>
      </c>
      <c r="E128" t="s">
        <v>55</v>
      </c>
      <c r="F128" t="s">
        <v>132</v>
      </c>
      <c r="G128">
        <v>1</v>
      </c>
      <c r="H128">
        <v>2650</v>
      </c>
      <c r="I128">
        <v>0</v>
      </c>
      <c r="J128">
        <v>2650</v>
      </c>
      <c r="K128">
        <v>1713.82</v>
      </c>
      <c r="L128">
        <v>936.18</v>
      </c>
      <c r="M128" t="s">
        <v>24</v>
      </c>
      <c r="N128">
        <f t="shared" si="4"/>
        <v>10347307.5</v>
      </c>
      <c r="O128">
        <f t="shared" si="5"/>
        <v>3178026.9299999992</v>
      </c>
      <c r="P128">
        <f t="shared" si="6"/>
        <v>374</v>
      </c>
      <c r="Q128">
        <f t="shared" si="7"/>
        <v>140</v>
      </c>
    </row>
    <row r="129" spans="1:17" x14ac:dyDescent="0.25">
      <c r="A129" t="s">
        <v>275</v>
      </c>
      <c r="B129" s="3">
        <v>46055</v>
      </c>
      <c r="C129" t="s">
        <v>276</v>
      </c>
      <c r="D129" t="s">
        <v>59</v>
      </c>
      <c r="E129" t="s">
        <v>34</v>
      </c>
      <c r="F129" t="s">
        <v>38</v>
      </c>
      <c r="G129">
        <v>2</v>
      </c>
      <c r="H129">
        <v>3850</v>
      </c>
      <c r="I129">
        <v>20</v>
      </c>
      <c r="J129">
        <v>6160</v>
      </c>
      <c r="K129">
        <v>3577.02</v>
      </c>
      <c r="L129">
        <v>2582.98</v>
      </c>
      <c r="M129" t="s">
        <v>30</v>
      </c>
      <c r="N129">
        <f t="shared" si="4"/>
        <v>10344657.5</v>
      </c>
      <c r="O129">
        <f t="shared" si="5"/>
        <v>3177090.7499999991</v>
      </c>
      <c r="P129">
        <f t="shared" si="6"/>
        <v>373</v>
      </c>
      <c r="Q129">
        <f t="shared" si="7"/>
        <v>140</v>
      </c>
    </row>
    <row r="130" spans="1:17" x14ac:dyDescent="0.25">
      <c r="A130" t="s">
        <v>277</v>
      </c>
      <c r="B130" s="3">
        <v>46337</v>
      </c>
      <c r="C130" t="s">
        <v>236</v>
      </c>
      <c r="D130" t="s">
        <v>21</v>
      </c>
      <c r="E130" t="s">
        <v>28</v>
      </c>
      <c r="F130" t="s">
        <v>86</v>
      </c>
      <c r="G130">
        <v>1</v>
      </c>
      <c r="H130">
        <v>1100</v>
      </c>
      <c r="I130">
        <v>20</v>
      </c>
      <c r="J130">
        <v>880</v>
      </c>
      <c r="K130">
        <v>536.64</v>
      </c>
      <c r="L130">
        <v>343.36</v>
      </c>
      <c r="M130" t="s">
        <v>30</v>
      </c>
      <c r="N130">
        <f t="shared" ref="N130:N193" si="8">SUM(J130:J629)</f>
        <v>10338497.5</v>
      </c>
      <c r="O130">
        <f t="shared" ref="O130:O193" si="9">SUM(L130:L629)</f>
        <v>3174507.7699999991</v>
      </c>
      <c r="P130">
        <f t="shared" ref="P130:P193" si="10">COUNTA(A130:A629)</f>
        <v>372</v>
      </c>
      <c r="Q130">
        <f t="shared" ref="Q130:Q193" si="11">COUNTA(_xlfn.UNIQUE(C130:C629))</f>
        <v>140</v>
      </c>
    </row>
    <row r="131" spans="1:17" x14ac:dyDescent="0.25">
      <c r="A131" t="s">
        <v>278</v>
      </c>
      <c r="B131" s="3">
        <v>46078</v>
      </c>
      <c r="C131" t="s">
        <v>202</v>
      </c>
      <c r="D131" t="s">
        <v>59</v>
      </c>
      <c r="E131" t="s">
        <v>22</v>
      </c>
      <c r="F131" t="s">
        <v>23</v>
      </c>
      <c r="G131">
        <v>1</v>
      </c>
      <c r="H131">
        <v>2150</v>
      </c>
      <c r="I131">
        <v>15</v>
      </c>
      <c r="J131">
        <v>1827.5</v>
      </c>
      <c r="K131">
        <v>1215.46</v>
      </c>
      <c r="L131">
        <v>612.04</v>
      </c>
      <c r="M131" t="s">
        <v>46</v>
      </c>
      <c r="N131">
        <f t="shared" si="8"/>
        <v>10337617.5</v>
      </c>
      <c r="O131">
        <f t="shared" si="9"/>
        <v>3174164.4099999988</v>
      </c>
      <c r="P131">
        <f t="shared" si="10"/>
        <v>371</v>
      </c>
      <c r="Q131">
        <f t="shared" si="11"/>
        <v>140</v>
      </c>
    </row>
    <row r="132" spans="1:17" x14ac:dyDescent="0.25">
      <c r="A132" t="s">
        <v>279</v>
      </c>
      <c r="B132" s="3">
        <v>46342</v>
      </c>
      <c r="C132" t="s">
        <v>162</v>
      </c>
      <c r="D132" t="s">
        <v>21</v>
      </c>
      <c r="E132" t="s">
        <v>16</v>
      </c>
      <c r="F132" t="s">
        <v>72</v>
      </c>
      <c r="G132">
        <v>5</v>
      </c>
      <c r="H132">
        <v>20650</v>
      </c>
      <c r="I132">
        <v>0</v>
      </c>
      <c r="J132">
        <v>103250</v>
      </c>
      <c r="K132">
        <v>60305.41</v>
      </c>
      <c r="L132">
        <v>42944.59</v>
      </c>
      <c r="M132" t="s">
        <v>30</v>
      </c>
      <c r="N132">
        <f t="shared" si="8"/>
        <v>10335790</v>
      </c>
      <c r="O132">
        <f t="shared" si="9"/>
        <v>3173552.3699999987</v>
      </c>
      <c r="P132">
        <f t="shared" si="10"/>
        <v>370</v>
      </c>
      <c r="Q132">
        <f t="shared" si="11"/>
        <v>140</v>
      </c>
    </row>
    <row r="133" spans="1:17" x14ac:dyDescent="0.25">
      <c r="A133" t="s">
        <v>280</v>
      </c>
      <c r="B133" s="3">
        <v>46243</v>
      </c>
      <c r="C133" t="s">
        <v>91</v>
      </c>
      <c r="D133" t="s">
        <v>15</v>
      </c>
      <c r="E133" t="s">
        <v>22</v>
      </c>
      <c r="F133" t="s">
        <v>104</v>
      </c>
      <c r="G133">
        <v>5</v>
      </c>
      <c r="H133">
        <v>1400</v>
      </c>
      <c r="I133">
        <v>15</v>
      </c>
      <c r="J133">
        <v>5950</v>
      </c>
      <c r="K133">
        <v>4084.67</v>
      </c>
      <c r="L133">
        <v>1865.33</v>
      </c>
      <c r="M133" t="s">
        <v>18</v>
      </c>
      <c r="N133">
        <f t="shared" si="8"/>
        <v>10232540</v>
      </c>
      <c r="O133">
        <f t="shared" si="9"/>
        <v>3130607.7799999989</v>
      </c>
      <c r="P133">
        <f t="shared" si="10"/>
        <v>369</v>
      </c>
      <c r="Q133">
        <f t="shared" si="11"/>
        <v>140</v>
      </c>
    </row>
    <row r="134" spans="1:17" x14ac:dyDescent="0.25">
      <c r="A134" t="s">
        <v>281</v>
      </c>
      <c r="B134" s="3">
        <v>46255</v>
      </c>
      <c r="C134" t="s">
        <v>282</v>
      </c>
      <c r="D134" t="s">
        <v>27</v>
      </c>
      <c r="E134" t="s">
        <v>55</v>
      </c>
      <c r="F134" t="s">
        <v>56</v>
      </c>
      <c r="G134">
        <v>4</v>
      </c>
      <c r="H134">
        <v>4250</v>
      </c>
      <c r="I134">
        <v>15</v>
      </c>
      <c r="J134">
        <v>14450</v>
      </c>
      <c r="K134">
        <v>9269.84</v>
      </c>
      <c r="L134">
        <v>5180.16</v>
      </c>
      <c r="M134" t="s">
        <v>46</v>
      </c>
      <c r="N134">
        <f t="shared" si="8"/>
        <v>10226590</v>
      </c>
      <c r="O134">
        <f t="shared" si="9"/>
        <v>3128742.4499999988</v>
      </c>
      <c r="P134">
        <f t="shared" si="10"/>
        <v>368</v>
      </c>
      <c r="Q134">
        <f t="shared" si="11"/>
        <v>140</v>
      </c>
    </row>
    <row r="135" spans="1:17" x14ac:dyDescent="0.25">
      <c r="A135" t="s">
        <v>283</v>
      </c>
      <c r="B135" s="3">
        <v>46101</v>
      </c>
      <c r="C135" t="s">
        <v>276</v>
      </c>
      <c r="D135" t="s">
        <v>15</v>
      </c>
      <c r="E135" t="s">
        <v>34</v>
      </c>
      <c r="F135" t="s">
        <v>69</v>
      </c>
      <c r="G135">
        <v>3</v>
      </c>
      <c r="H135">
        <v>5850</v>
      </c>
      <c r="I135">
        <v>10</v>
      </c>
      <c r="J135">
        <v>15795</v>
      </c>
      <c r="K135">
        <v>10283.51</v>
      </c>
      <c r="L135">
        <v>5511.49</v>
      </c>
      <c r="M135" t="s">
        <v>46</v>
      </c>
      <c r="N135">
        <f t="shared" si="8"/>
        <v>10212140</v>
      </c>
      <c r="O135">
        <f t="shared" si="9"/>
        <v>3123562.2899999986</v>
      </c>
      <c r="P135">
        <f t="shared" si="10"/>
        <v>367</v>
      </c>
      <c r="Q135">
        <f t="shared" si="11"/>
        <v>139</v>
      </c>
    </row>
    <row r="136" spans="1:17" x14ac:dyDescent="0.25">
      <c r="A136" t="s">
        <v>284</v>
      </c>
      <c r="B136" s="3">
        <v>46307</v>
      </c>
      <c r="C136" t="s">
        <v>85</v>
      </c>
      <c r="D136" t="s">
        <v>52</v>
      </c>
      <c r="E136" t="s">
        <v>16</v>
      </c>
      <c r="F136" t="s">
        <v>17</v>
      </c>
      <c r="G136">
        <v>4</v>
      </c>
      <c r="H136">
        <v>13850</v>
      </c>
      <c r="I136">
        <v>10</v>
      </c>
      <c r="J136">
        <v>49860</v>
      </c>
      <c r="K136">
        <v>38351.199999999997</v>
      </c>
      <c r="L136">
        <v>11508.8</v>
      </c>
      <c r="M136" t="s">
        <v>18</v>
      </c>
      <c r="N136">
        <f t="shared" si="8"/>
        <v>10196345</v>
      </c>
      <c r="O136">
        <f t="shared" si="9"/>
        <v>3118050.7999999984</v>
      </c>
      <c r="P136">
        <f t="shared" si="10"/>
        <v>366</v>
      </c>
      <c r="Q136">
        <f t="shared" si="11"/>
        <v>139</v>
      </c>
    </row>
    <row r="137" spans="1:17" x14ac:dyDescent="0.25">
      <c r="A137" t="s">
        <v>285</v>
      </c>
      <c r="B137" s="3">
        <v>46239</v>
      </c>
      <c r="C137" t="s">
        <v>120</v>
      </c>
      <c r="D137" t="s">
        <v>44</v>
      </c>
      <c r="E137" t="s">
        <v>28</v>
      </c>
      <c r="F137" t="s">
        <v>41</v>
      </c>
      <c r="G137">
        <v>1</v>
      </c>
      <c r="H137">
        <v>1000</v>
      </c>
      <c r="I137">
        <v>10</v>
      </c>
      <c r="J137">
        <v>900</v>
      </c>
      <c r="K137">
        <v>707.29</v>
      </c>
      <c r="L137">
        <v>192.71</v>
      </c>
      <c r="M137" t="s">
        <v>18</v>
      </c>
      <c r="N137">
        <f t="shared" si="8"/>
        <v>10146485</v>
      </c>
      <c r="O137">
        <f t="shared" si="9"/>
        <v>3106541.9999999986</v>
      </c>
      <c r="P137">
        <f t="shared" si="10"/>
        <v>365</v>
      </c>
      <c r="Q137">
        <f t="shared" si="11"/>
        <v>139</v>
      </c>
    </row>
    <row r="138" spans="1:17" x14ac:dyDescent="0.25">
      <c r="A138" t="s">
        <v>286</v>
      </c>
      <c r="B138" s="3">
        <v>46359</v>
      </c>
      <c r="C138" t="s">
        <v>229</v>
      </c>
      <c r="D138" t="s">
        <v>80</v>
      </c>
      <c r="E138" t="s">
        <v>34</v>
      </c>
      <c r="F138" t="s">
        <v>116</v>
      </c>
      <c r="G138">
        <v>1</v>
      </c>
      <c r="H138">
        <v>5150</v>
      </c>
      <c r="I138">
        <v>20</v>
      </c>
      <c r="J138">
        <v>4120</v>
      </c>
      <c r="K138">
        <v>2502.65</v>
      </c>
      <c r="L138">
        <v>1617.35</v>
      </c>
      <c r="M138" t="s">
        <v>46</v>
      </c>
      <c r="N138">
        <f t="shared" si="8"/>
        <v>10145585</v>
      </c>
      <c r="O138">
        <f t="shared" si="9"/>
        <v>3106349.2899999986</v>
      </c>
      <c r="P138">
        <f t="shared" si="10"/>
        <v>364</v>
      </c>
      <c r="Q138">
        <f t="shared" si="11"/>
        <v>139</v>
      </c>
    </row>
    <row r="139" spans="1:17" x14ac:dyDescent="0.25">
      <c r="A139" t="s">
        <v>287</v>
      </c>
      <c r="B139" s="3">
        <v>46242</v>
      </c>
      <c r="C139" t="s">
        <v>288</v>
      </c>
      <c r="D139" t="s">
        <v>52</v>
      </c>
      <c r="E139" t="s">
        <v>34</v>
      </c>
      <c r="F139" t="s">
        <v>60</v>
      </c>
      <c r="G139">
        <v>3</v>
      </c>
      <c r="H139">
        <v>1350</v>
      </c>
      <c r="I139">
        <v>10</v>
      </c>
      <c r="J139">
        <v>3645</v>
      </c>
      <c r="K139">
        <v>2569.75</v>
      </c>
      <c r="L139">
        <v>1075.25</v>
      </c>
      <c r="M139" t="s">
        <v>18</v>
      </c>
      <c r="N139">
        <f t="shared" si="8"/>
        <v>10141465</v>
      </c>
      <c r="O139">
        <f t="shared" si="9"/>
        <v>3104731.9399999985</v>
      </c>
      <c r="P139">
        <f t="shared" si="10"/>
        <v>363</v>
      </c>
      <c r="Q139">
        <f t="shared" si="11"/>
        <v>139</v>
      </c>
    </row>
    <row r="140" spans="1:17" x14ac:dyDescent="0.25">
      <c r="A140" t="s">
        <v>289</v>
      </c>
      <c r="B140" s="3">
        <v>46162</v>
      </c>
      <c r="C140" t="s">
        <v>148</v>
      </c>
      <c r="D140" t="s">
        <v>33</v>
      </c>
      <c r="E140" t="s">
        <v>28</v>
      </c>
      <c r="F140" t="s">
        <v>78</v>
      </c>
      <c r="G140">
        <v>5</v>
      </c>
      <c r="H140">
        <v>1500</v>
      </c>
      <c r="I140">
        <v>10</v>
      </c>
      <c r="J140">
        <v>6750</v>
      </c>
      <c r="K140">
        <v>3765.27</v>
      </c>
      <c r="L140">
        <v>2984.73</v>
      </c>
      <c r="M140" t="s">
        <v>30</v>
      </c>
      <c r="N140">
        <f t="shared" si="8"/>
        <v>10137820</v>
      </c>
      <c r="O140">
        <f t="shared" si="9"/>
        <v>3103656.6899999985</v>
      </c>
      <c r="P140">
        <f t="shared" si="10"/>
        <v>362</v>
      </c>
      <c r="Q140">
        <f t="shared" si="11"/>
        <v>139</v>
      </c>
    </row>
    <row r="141" spans="1:17" x14ac:dyDescent="0.25">
      <c r="A141" t="s">
        <v>290</v>
      </c>
      <c r="B141" s="3">
        <v>46347</v>
      </c>
      <c r="C141" t="s">
        <v>291</v>
      </c>
      <c r="D141" t="s">
        <v>15</v>
      </c>
      <c r="E141" t="s">
        <v>16</v>
      </c>
      <c r="F141" t="s">
        <v>107</v>
      </c>
      <c r="G141">
        <v>2</v>
      </c>
      <c r="H141">
        <v>53750</v>
      </c>
      <c r="I141">
        <v>0</v>
      </c>
      <c r="J141">
        <v>107500</v>
      </c>
      <c r="K141">
        <v>63242.91</v>
      </c>
      <c r="L141">
        <v>44257.09</v>
      </c>
      <c r="M141" t="s">
        <v>18</v>
      </c>
      <c r="N141">
        <f t="shared" si="8"/>
        <v>10131070</v>
      </c>
      <c r="O141">
        <f t="shared" si="9"/>
        <v>3100671.9599999986</v>
      </c>
      <c r="P141">
        <f t="shared" si="10"/>
        <v>361</v>
      </c>
      <c r="Q141">
        <f t="shared" si="11"/>
        <v>139</v>
      </c>
    </row>
    <row r="142" spans="1:17" x14ac:dyDescent="0.25">
      <c r="A142" t="s">
        <v>292</v>
      </c>
      <c r="B142" s="3">
        <v>46182</v>
      </c>
      <c r="C142" t="s">
        <v>262</v>
      </c>
      <c r="D142" t="s">
        <v>52</v>
      </c>
      <c r="E142" t="s">
        <v>55</v>
      </c>
      <c r="F142" t="s">
        <v>56</v>
      </c>
      <c r="G142">
        <v>4</v>
      </c>
      <c r="H142">
        <v>7950</v>
      </c>
      <c r="I142">
        <v>10</v>
      </c>
      <c r="J142">
        <v>28620</v>
      </c>
      <c r="K142">
        <v>16957.36</v>
      </c>
      <c r="L142">
        <v>11662.64</v>
      </c>
      <c r="M142" t="s">
        <v>18</v>
      </c>
      <c r="N142">
        <f t="shared" si="8"/>
        <v>10023570</v>
      </c>
      <c r="O142">
        <f t="shared" si="9"/>
        <v>3056414.8699999987</v>
      </c>
      <c r="P142">
        <f t="shared" si="10"/>
        <v>360</v>
      </c>
      <c r="Q142">
        <f t="shared" si="11"/>
        <v>139</v>
      </c>
    </row>
    <row r="143" spans="1:17" x14ac:dyDescent="0.25">
      <c r="A143" t="s">
        <v>293</v>
      </c>
      <c r="B143" s="3">
        <v>46064</v>
      </c>
      <c r="C143" t="s">
        <v>48</v>
      </c>
      <c r="D143" t="s">
        <v>59</v>
      </c>
      <c r="E143" t="s">
        <v>16</v>
      </c>
      <c r="F143" t="s">
        <v>17</v>
      </c>
      <c r="G143">
        <v>2</v>
      </c>
      <c r="H143">
        <v>21850</v>
      </c>
      <c r="I143">
        <v>20</v>
      </c>
      <c r="J143">
        <v>34960</v>
      </c>
      <c r="K143">
        <v>19697.72</v>
      </c>
      <c r="L143">
        <v>15262.28</v>
      </c>
      <c r="M143" t="s">
        <v>63</v>
      </c>
      <c r="N143">
        <f t="shared" si="8"/>
        <v>9994950</v>
      </c>
      <c r="O143">
        <f t="shared" si="9"/>
        <v>3044752.2299999981</v>
      </c>
      <c r="P143">
        <f t="shared" si="10"/>
        <v>359</v>
      </c>
      <c r="Q143">
        <f t="shared" si="11"/>
        <v>139</v>
      </c>
    </row>
    <row r="144" spans="1:17" x14ac:dyDescent="0.25">
      <c r="A144" t="s">
        <v>294</v>
      </c>
      <c r="B144" s="3">
        <v>46285</v>
      </c>
      <c r="C144" t="s">
        <v>295</v>
      </c>
      <c r="D144" t="s">
        <v>33</v>
      </c>
      <c r="E144" t="s">
        <v>22</v>
      </c>
      <c r="F144" t="s">
        <v>104</v>
      </c>
      <c r="G144">
        <v>4</v>
      </c>
      <c r="H144">
        <v>1900</v>
      </c>
      <c r="I144">
        <v>10</v>
      </c>
      <c r="J144">
        <v>6840</v>
      </c>
      <c r="K144">
        <v>4160.1099999999997</v>
      </c>
      <c r="L144">
        <v>2679.89</v>
      </c>
      <c r="M144" t="s">
        <v>63</v>
      </c>
      <c r="N144">
        <f t="shared" si="8"/>
        <v>9959990</v>
      </c>
      <c r="O144">
        <f t="shared" si="9"/>
        <v>3029489.9499999983</v>
      </c>
      <c r="P144">
        <f t="shared" si="10"/>
        <v>358</v>
      </c>
      <c r="Q144">
        <f t="shared" si="11"/>
        <v>139</v>
      </c>
    </row>
    <row r="145" spans="1:17" x14ac:dyDescent="0.25">
      <c r="A145" t="s">
        <v>296</v>
      </c>
      <c r="B145" s="3">
        <v>46046</v>
      </c>
      <c r="C145" t="s">
        <v>297</v>
      </c>
      <c r="D145" t="s">
        <v>27</v>
      </c>
      <c r="E145" t="s">
        <v>16</v>
      </c>
      <c r="F145" t="s">
        <v>72</v>
      </c>
      <c r="G145">
        <v>5</v>
      </c>
      <c r="H145">
        <v>65000</v>
      </c>
      <c r="I145">
        <v>20</v>
      </c>
      <c r="J145">
        <v>260000</v>
      </c>
      <c r="K145">
        <v>189832.71</v>
      </c>
      <c r="L145">
        <v>70167.289999999994</v>
      </c>
      <c r="M145" t="s">
        <v>18</v>
      </c>
      <c r="N145">
        <f t="shared" si="8"/>
        <v>9953150</v>
      </c>
      <c r="O145">
        <f t="shared" si="9"/>
        <v>3026810.0599999982</v>
      </c>
      <c r="P145">
        <f t="shared" si="10"/>
        <v>357</v>
      </c>
      <c r="Q145">
        <f t="shared" si="11"/>
        <v>139</v>
      </c>
    </row>
    <row r="146" spans="1:17" x14ac:dyDescent="0.25">
      <c r="A146" t="s">
        <v>298</v>
      </c>
      <c r="B146" s="3">
        <v>46153</v>
      </c>
      <c r="C146" t="s">
        <v>40</v>
      </c>
      <c r="D146" t="s">
        <v>33</v>
      </c>
      <c r="E146" t="s">
        <v>16</v>
      </c>
      <c r="F146" t="s">
        <v>17</v>
      </c>
      <c r="G146">
        <v>2</v>
      </c>
      <c r="H146">
        <v>40700</v>
      </c>
      <c r="I146">
        <v>5</v>
      </c>
      <c r="J146">
        <v>77330</v>
      </c>
      <c r="K146">
        <v>58553.07</v>
      </c>
      <c r="L146">
        <v>18776.93</v>
      </c>
      <c r="M146" t="s">
        <v>46</v>
      </c>
      <c r="N146">
        <f t="shared" si="8"/>
        <v>9693150</v>
      </c>
      <c r="O146">
        <f t="shared" si="9"/>
        <v>2956642.7699999986</v>
      </c>
      <c r="P146">
        <f t="shared" si="10"/>
        <v>356</v>
      </c>
      <c r="Q146">
        <f t="shared" si="11"/>
        <v>139</v>
      </c>
    </row>
    <row r="147" spans="1:17" x14ac:dyDescent="0.25">
      <c r="A147" t="s">
        <v>299</v>
      </c>
      <c r="B147" s="3">
        <v>46383</v>
      </c>
      <c r="C147" t="s">
        <v>252</v>
      </c>
      <c r="D147" t="s">
        <v>21</v>
      </c>
      <c r="E147" t="s">
        <v>16</v>
      </c>
      <c r="F147" t="s">
        <v>45</v>
      </c>
      <c r="G147">
        <v>4</v>
      </c>
      <c r="H147">
        <v>24250</v>
      </c>
      <c r="I147">
        <v>5</v>
      </c>
      <c r="J147">
        <v>92150</v>
      </c>
      <c r="K147">
        <v>60142.25</v>
      </c>
      <c r="L147">
        <v>32007.75</v>
      </c>
      <c r="M147" t="s">
        <v>18</v>
      </c>
      <c r="N147">
        <f t="shared" si="8"/>
        <v>9615820</v>
      </c>
      <c r="O147">
        <f t="shared" si="9"/>
        <v>2937865.8399999985</v>
      </c>
      <c r="P147">
        <f t="shared" si="10"/>
        <v>355</v>
      </c>
      <c r="Q147">
        <f t="shared" si="11"/>
        <v>139</v>
      </c>
    </row>
    <row r="148" spans="1:17" x14ac:dyDescent="0.25">
      <c r="A148" t="s">
        <v>300</v>
      </c>
      <c r="B148" s="3">
        <v>46062</v>
      </c>
      <c r="C148" t="s">
        <v>109</v>
      </c>
      <c r="D148" t="s">
        <v>52</v>
      </c>
      <c r="E148" t="s">
        <v>34</v>
      </c>
      <c r="F148" t="s">
        <v>38</v>
      </c>
      <c r="G148">
        <v>4</v>
      </c>
      <c r="H148">
        <v>750</v>
      </c>
      <c r="I148">
        <v>15</v>
      </c>
      <c r="J148">
        <v>2550</v>
      </c>
      <c r="K148">
        <v>1415.4</v>
      </c>
      <c r="L148">
        <v>1134.5999999999999</v>
      </c>
      <c r="M148" t="s">
        <v>63</v>
      </c>
      <c r="N148">
        <f t="shared" si="8"/>
        <v>9523670</v>
      </c>
      <c r="O148">
        <f t="shared" si="9"/>
        <v>2905858.0899999985</v>
      </c>
      <c r="P148">
        <f t="shared" si="10"/>
        <v>354</v>
      </c>
      <c r="Q148">
        <f t="shared" si="11"/>
        <v>139</v>
      </c>
    </row>
    <row r="149" spans="1:17" x14ac:dyDescent="0.25">
      <c r="A149" t="s">
        <v>301</v>
      </c>
      <c r="B149" s="3">
        <v>46189</v>
      </c>
      <c r="C149" t="s">
        <v>302</v>
      </c>
      <c r="D149" t="s">
        <v>52</v>
      </c>
      <c r="E149" t="s">
        <v>28</v>
      </c>
      <c r="F149" t="s">
        <v>29</v>
      </c>
      <c r="G149">
        <v>4</v>
      </c>
      <c r="H149">
        <v>750</v>
      </c>
      <c r="I149">
        <v>0</v>
      </c>
      <c r="J149">
        <v>3000</v>
      </c>
      <c r="K149">
        <v>1978.08</v>
      </c>
      <c r="L149">
        <v>1021.92</v>
      </c>
      <c r="M149" t="s">
        <v>63</v>
      </c>
      <c r="N149">
        <f t="shared" si="8"/>
        <v>9521120</v>
      </c>
      <c r="O149">
        <f t="shared" si="9"/>
        <v>2904723.4899999988</v>
      </c>
      <c r="P149">
        <f t="shared" si="10"/>
        <v>353</v>
      </c>
      <c r="Q149">
        <f t="shared" si="11"/>
        <v>139</v>
      </c>
    </row>
    <row r="150" spans="1:17" x14ac:dyDescent="0.25">
      <c r="A150" t="s">
        <v>303</v>
      </c>
      <c r="B150" s="3">
        <v>46228</v>
      </c>
      <c r="C150" t="s">
        <v>304</v>
      </c>
      <c r="D150" t="s">
        <v>15</v>
      </c>
      <c r="E150" t="s">
        <v>34</v>
      </c>
      <c r="F150" t="s">
        <v>38</v>
      </c>
      <c r="G150">
        <v>4</v>
      </c>
      <c r="H150">
        <v>1250</v>
      </c>
      <c r="I150">
        <v>5</v>
      </c>
      <c r="J150">
        <v>4750</v>
      </c>
      <c r="K150">
        <v>3171.26</v>
      </c>
      <c r="L150">
        <v>1578.74</v>
      </c>
      <c r="M150" t="s">
        <v>63</v>
      </c>
      <c r="N150">
        <f t="shared" si="8"/>
        <v>9518120</v>
      </c>
      <c r="O150">
        <f t="shared" si="9"/>
        <v>2903701.5699999984</v>
      </c>
      <c r="P150">
        <f t="shared" si="10"/>
        <v>352</v>
      </c>
      <c r="Q150">
        <f t="shared" si="11"/>
        <v>138</v>
      </c>
    </row>
    <row r="151" spans="1:17" x14ac:dyDescent="0.25">
      <c r="A151" t="s">
        <v>305</v>
      </c>
      <c r="B151" s="3">
        <v>46347</v>
      </c>
      <c r="C151" t="s">
        <v>295</v>
      </c>
      <c r="D151" t="s">
        <v>21</v>
      </c>
      <c r="E151" t="s">
        <v>34</v>
      </c>
      <c r="F151" t="s">
        <v>116</v>
      </c>
      <c r="G151">
        <v>2</v>
      </c>
      <c r="H151">
        <v>3150</v>
      </c>
      <c r="I151">
        <v>5</v>
      </c>
      <c r="J151">
        <v>5985</v>
      </c>
      <c r="K151">
        <v>3415.18</v>
      </c>
      <c r="L151">
        <v>2569.8200000000002</v>
      </c>
      <c r="M151" t="s">
        <v>18</v>
      </c>
      <c r="N151">
        <f t="shared" si="8"/>
        <v>9513370</v>
      </c>
      <c r="O151">
        <f t="shared" si="9"/>
        <v>2902122.8299999987</v>
      </c>
      <c r="P151">
        <f t="shared" si="10"/>
        <v>351</v>
      </c>
      <c r="Q151">
        <f t="shared" si="11"/>
        <v>138</v>
      </c>
    </row>
    <row r="152" spans="1:17" x14ac:dyDescent="0.25">
      <c r="A152" t="s">
        <v>306</v>
      </c>
      <c r="B152" s="3">
        <v>46097</v>
      </c>
      <c r="C152" t="s">
        <v>256</v>
      </c>
      <c r="D152" t="s">
        <v>80</v>
      </c>
      <c r="E152" t="s">
        <v>55</v>
      </c>
      <c r="F152" t="s">
        <v>141</v>
      </c>
      <c r="G152">
        <v>3</v>
      </c>
      <c r="H152">
        <v>11050</v>
      </c>
      <c r="I152">
        <v>5</v>
      </c>
      <c r="J152">
        <v>31492.5</v>
      </c>
      <c r="K152">
        <v>19329.86</v>
      </c>
      <c r="L152">
        <v>12162.64</v>
      </c>
      <c r="M152" t="s">
        <v>24</v>
      </c>
      <c r="N152">
        <f t="shared" si="8"/>
        <v>9507385</v>
      </c>
      <c r="O152">
        <f t="shared" si="9"/>
        <v>2899553.0099999988</v>
      </c>
      <c r="P152">
        <f t="shared" si="10"/>
        <v>350</v>
      </c>
      <c r="Q152">
        <f t="shared" si="11"/>
        <v>138</v>
      </c>
    </row>
    <row r="153" spans="1:17" x14ac:dyDescent="0.25">
      <c r="A153" t="s">
        <v>307</v>
      </c>
      <c r="B153" s="3">
        <v>46311</v>
      </c>
      <c r="C153" t="s">
        <v>178</v>
      </c>
      <c r="D153" t="s">
        <v>59</v>
      </c>
      <c r="E153" t="s">
        <v>28</v>
      </c>
      <c r="F153" t="s">
        <v>49</v>
      </c>
      <c r="G153">
        <v>1</v>
      </c>
      <c r="H153">
        <v>500</v>
      </c>
      <c r="I153">
        <v>15</v>
      </c>
      <c r="J153">
        <v>425</v>
      </c>
      <c r="K153">
        <v>286.99</v>
      </c>
      <c r="L153">
        <v>138.01</v>
      </c>
      <c r="M153" t="s">
        <v>18</v>
      </c>
      <c r="N153">
        <f t="shared" si="8"/>
        <v>9475892.5</v>
      </c>
      <c r="O153">
        <f t="shared" si="9"/>
        <v>2887390.3699999987</v>
      </c>
      <c r="P153">
        <f t="shared" si="10"/>
        <v>349</v>
      </c>
      <c r="Q153">
        <f t="shared" si="11"/>
        <v>137</v>
      </c>
    </row>
    <row r="154" spans="1:17" x14ac:dyDescent="0.25">
      <c r="A154" t="s">
        <v>308</v>
      </c>
      <c r="B154" s="3">
        <v>46249</v>
      </c>
      <c r="C154" t="s">
        <v>200</v>
      </c>
      <c r="D154" t="s">
        <v>44</v>
      </c>
      <c r="E154" t="s">
        <v>28</v>
      </c>
      <c r="F154" t="s">
        <v>41</v>
      </c>
      <c r="G154">
        <v>3</v>
      </c>
      <c r="H154">
        <v>450</v>
      </c>
      <c r="I154">
        <v>15</v>
      </c>
      <c r="J154">
        <v>1147.5</v>
      </c>
      <c r="K154">
        <v>652.28</v>
      </c>
      <c r="L154">
        <v>495.22</v>
      </c>
      <c r="M154" t="s">
        <v>18</v>
      </c>
      <c r="N154">
        <f t="shared" si="8"/>
        <v>9475467.5</v>
      </c>
      <c r="O154">
        <f t="shared" si="9"/>
        <v>2887252.3599999985</v>
      </c>
      <c r="P154">
        <f t="shared" si="10"/>
        <v>348</v>
      </c>
      <c r="Q154">
        <f t="shared" si="11"/>
        <v>137</v>
      </c>
    </row>
    <row r="155" spans="1:17" x14ac:dyDescent="0.25">
      <c r="A155" t="s">
        <v>309</v>
      </c>
      <c r="B155" s="3">
        <v>46042</v>
      </c>
      <c r="C155" t="s">
        <v>101</v>
      </c>
      <c r="D155" t="s">
        <v>33</v>
      </c>
      <c r="E155" t="s">
        <v>16</v>
      </c>
      <c r="F155" t="s">
        <v>72</v>
      </c>
      <c r="G155">
        <v>5</v>
      </c>
      <c r="H155">
        <v>10900</v>
      </c>
      <c r="I155">
        <v>10</v>
      </c>
      <c r="J155">
        <v>49050</v>
      </c>
      <c r="K155">
        <v>33092.589999999997</v>
      </c>
      <c r="L155">
        <v>15957.41</v>
      </c>
      <c r="M155" t="s">
        <v>30</v>
      </c>
      <c r="N155">
        <f t="shared" si="8"/>
        <v>9474320</v>
      </c>
      <c r="O155">
        <f t="shared" si="9"/>
        <v>2886757.1399999987</v>
      </c>
      <c r="P155">
        <f t="shared" si="10"/>
        <v>347</v>
      </c>
      <c r="Q155">
        <f t="shared" si="11"/>
        <v>137</v>
      </c>
    </row>
    <row r="156" spans="1:17" x14ac:dyDescent="0.25">
      <c r="A156" t="s">
        <v>310</v>
      </c>
      <c r="B156" s="3">
        <v>46306</v>
      </c>
      <c r="C156" t="s">
        <v>106</v>
      </c>
      <c r="D156" t="s">
        <v>59</v>
      </c>
      <c r="E156" t="s">
        <v>16</v>
      </c>
      <c r="F156" t="s">
        <v>17</v>
      </c>
      <c r="G156">
        <v>5</v>
      </c>
      <c r="H156">
        <v>67650</v>
      </c>
      <c r="I156">
        <v>15</v>
      </c>
      <c r="J156">
        <v>287512.5</v>
      </c>
      <c r="K156">
        <v>194051.43</v>
      </c>
      <c r="L156">
        <v>93461.07</v>
      </c>
      <c r="M156" t="s">
        <v>18</v>
      </c>
      <c r="N156">
        <f t="shared" si="8"/>
        <v>9425270</v>
      </c>
      <c r="O156">
        <f t="shared" si="9"/>
        <v>2870799.7299999986</v>
      </c>
      <c r="P156">
        <f t="shared" si="10"/>
        <v>346</v>
      </c>
      <c r="Q156">
        <f t="shared" si="11"/>
        <v>137</v>
      </c>
    </row>
    <row r="157" spans="1:17" x14ac:dyDescent="0.25">
      <c r="A157" t="s">
        <v>311</v>
      </c>
      <c r="B157" s="3">
        <v>46054</v>
      </c>
      <c r="C157" t="s">
        <v>312</v>
      </c>
      <c r="D157" t="s">
        <v>15</v>
      </c>
      <c r="E157" t="s">
        <v>55</v>
      </c>
      <c r="F157" t="s">
        <v>141</v>
      </c>
      <c r="G157">
        <v>5</v>
      </c>
      <c r="H157">
        <v>8300</v>
      </c>
      <c r="I157">
        <v>20</v>
      </c>
      <c r="J157">
        <v>33200</v>
      </c>
      <c r="K157">
        <v>19612.32</v>
      </c>
      <c r="L157">
        <v>13587.68</v>
      </c>
      <c r="M157" t="s">
        <v>30</v>
      </c>
      <c r="N157">
        <f t="shared" si="8"/>
        <v>9137757.5</v>
      </c>
      <c r="O157">
        <f t="shared" si="9"/>
        <v>2777338.6599999988</v>
      </c>
      <c r="P157">
        <f t="shared" si="10"/>
        <v>345</v>
      </c>
      <c r="Q157">
        <f t="shared" si="11"/>
        <v>137</v>
      </c>
    </row>
    <row r="158" spans="1:17" x14ac:dyDescent="0.25">
      <c r="A158" t="s">
        <v>313</v>
      </c>
      <c r="B158" s="3">
        <v>46247</v>
      </c>
      <c r="C158" t="s">
        <v>304</v>
      </c>
      <c r="D158" t="s">
        <v>21</v>
      </c>
      <c r="E158" t="s">
        <v>16</v>
      </c>
      <c r="F158" t="s">
        <v>240</v>
      </c>
      <c r="G158">
        <v>2</v>
      </c>
      <c r="H158">
        <v>6350</v>
      </c>
      <c r="I158">
        <v>5</v>
      </c>
      <c r="J158">
        <v>12065</v>
      </c>
      <c r="K158">
        <v>8940.86</v>
      </c>
      <c r="L158">
        <v>3124.14</v>
      </c>
      <c r="M158" t="s">
        <v>18</v>
      </c>
      <c r="N158">
        <f t="shared" si="8"/>
        <v>9104557.5</v>
      </c>
      <c r="O158">
        <f t="shared" si="9"/>
        <v>2763750.9799999986</v>
      </c>
      <c r="P158">
        <f t="shared" si="10"/>
        <v>344</v>
      </c>
      <c r="Q158">
        <f t="shared" si="11"/>
        <v>137</v>
      </c>
    </row>
    <row r="159" spans="1:17" x14ac:dyDescent="0.25">
      <c r="A159" t="s">
        <v>314</v>
      </c>
      <c r="B159" s="3">
        <v>46196</v>
      </c>
      <c r="C159" t="s">
        <v>120</v>
      </c>
      <c r="D159" t="s">
        <v>33</v>
      </c>
      <c r="E159" t="s">
        <v>55</v>
      </c>
      <c r="F159" t="s">
        <v>141</v>
      </c>
      <c r="G159">
        <v>3</v>
      </c>
      <c r="H159">
        <v>5150</v>
      </c>
      <c r="I159">
        <v>15</v>
      </c>
      <c r="J159">
        <v>13132.5</v>
      </c>
      <c r="K159">
        <v>8672.2800000000007</v>
      </c>
      <c r="L159">
        <v>4460.22</v>
      </c>
      <c r="M159" t="s">
        <v>46</v>
      </c>
      <c r="N159">
        <f t="shared" si="8"/>
        <v>9092492.5</v>
      </c>
      <c r="O159">
        <f t="shared" si="9"/>
        <v>2760626.8399999985</v>
      </c>
      <c r="P159">
        <f t="shared" si="10"/>
        <v>343</v>
      </c>
      <c r="Q159">
        <f t="shared" si="11"/>
        <v>137</v>
      </c>
    </row>
    <row r="160" spans="1:17" x14ac:dyDescent="0.25">
      <c r="A160" t="s">
        <v>315</v>
      </c>
      <c r="B160" s="3">
        <v>46359</v>
      </c>
      <c r="C160" t="s">
        <v>124</v>
      </c>
      <c r="D160" t="s">
        <v>33</v>
      </c>
      <c r="E160" t="s">
        <v>34</v>
      </c>
      <c r="F160" t="s">
        <v>38</v>
      </c>
      <c r="G160">
        <v>5</v>
      </c>
      <c r="H160">
        <v>5950</v>
      </c>
      <c r="I160">
        <v>15</v>
      </c>
      <c r="J160">
        <v>25287.5</v>
      </c>
      <c r="K160">
        <v>15848.17</v>
      </c>
      <c r="L160">
        <v>9439.33</v>
      </c>
      <c r="M160" t="s">
        <v>46</v>
      </c>
      <c r="N160">
        <f t="shared" si="8"/>
        <v>9079360</v>
      </c>
      <c r="O160">
        <f t="shared" si="9"/>
        <v>2756166.6199999987</v>
      </c>
      <c r="P160">
        <f t="shared" si="10"/>
        <v>342</v>
      </c>
      <c r="Q160">
        <f t="shared" si="11"/>
        <v>137</v>
      </c>
    </row>
    <row r="161" spans="1:17" x14ac:dyDescent="0.25">
      <c r="A161" t="s">
        <v>316</v>
      </c>
      <c r="B161" s="3">
        <v>46385</v>
      </c>
      <c r="C161" t="s">
        <v>317</v>
      </c>
      <c r="D161" t="s">
        <v>44</v>
      </c>
      <c r="E161" t="s">
        <v>28</v>
      </c>
      <c r="F161" t="s">
        <v>49</v>
      </c>
      <c r="G161">
        <v>3</v>
      </c>
      <c r="H161">
        <v>800</v>
      </c>
      <c r="I161">
        <v>15</v>
      </c>
      <c r="J161">
        <v>2040</v>
      </c>
      <c r="K161">
        <v>1193.03</v>
      </c>
      <c r="L161">
        <v>846.97</v>
      </c>
      <c r="M161" t="s">
        <v>18</v>
      </c>
      <c r="N161">
        <f t="shared" si="8"/>
        <v>9054072.5</v>
      </c>
      <c r="O161">
        <f t="shared" si="9"/>
        <v>2746727.2899999986</v>
      </c>
      <c r="P161">
        <f t="shared" si="10"/>
        <v>341</v>
      </c>
      <c r="Q161">
        <f t="shared" si="11"/>
        <v>136</v>
      </c>
    </row>
    <row r="162" spans="1:17" x14ac:dyDescent="0.25">
      <c r="A162" t="s">
        <v>318</v>
      </c>
      <c r="B162" s="3">
        <v>46366</v>
      </c>
      <c r="C162" t="s">
        <v>93</v>
      </c>
      <c r="D162" t="s">
        <v>21</v>
      </c>
      <c r="E162" t="s">
        <v>22</v>
      </c>
      <c r="F162" t="s">
        <v>83</v>
      </c>
      <c r="G162">
        <v>2</v>
      </c>
      <c r="H162">
        <v>2950</v>
      </c>
      <c r="I162">
        <v>20</v>
      </c>
      <c r="J162">
        <v>4720</v>
      </c>
      <c r="K162">
        <v>2715.1</v>
      </c>
      <c r="L162">
        <v>2004.9</v>
      </c>
      <c r="M162" t="s">
        <v>30</v>
      </c>
      <c r="N162">
        <f t="shared" si="8"/>
        <v>9052032.5</v>
      </c>
      <c r="O162">
        <f t="shared" si="9"/>
        <v>2745880.3199999984</v>
      </c>
      <c r="P162">
        <f t="shared" si="10"/>
        <v>340</v>
      </c>
      <c r="Q162">
        <f t="shared" si="11"/>
        <v>136</v>
      </c>
    </row>
    <row r="163" spans="1:17" x14ac:dyDescent="0.25">
      <c r="A163" t="s">
        <v>319</v>
      </c>
      <c r="B163" s="3">
        <v>46271</v>
      </c>
      <c r="C163" t="s">
        <v>320</v>
      </c>
      <c r="D163" t="s">
        <v>80</v>
      </c>
      <c r="E163" t="s">
        <v>16</v>
      </c>
      <c r="F163" t="s">
        <v>72</v>
      </c>
      <c r="G163">
        <v>3</v>
      </c>
      <c r="H163">
        <v>24850</v>
      </c>
      <c r="I163">
        <v>5</v>
      </c>
      <c r="J163">
        <v>70822.5</v>
      </c>
      <c r="K163">
        <v>45487.01</v>
      </c>
      <c r="L163">
        <v>25335.49</v>
      </c>
      <c r="M163" t="s">
        <v>24</v>
      </c>
      <c r="N163">
        <f t="shared" si="8"/>
        <v>9047312.5</v>
      </c>
      <c r="O163">
        <f t="shared" si="9"/>
        <v>2743875.4199999985</v>
      </c>
      <c r="P163">
        <f t="shared" si="10"/>
        <v>339</v>
      </c>
      <c r="Q163">
        <f t="shared" si="11"/>
        <v>136</v>
      </c>
    </row>
    <row r="164" spans="1:17" x14ac:dyDescent="0.25">
      <c r="A164" t="s">
        <v>321</v>
      </c>
      <c r="B164" s="3">
        <v>46292</v>
      </c>
      <c r="C164" t="s">
        <v>222</v>
      </c>
      <c r="D164" t="s">
        <v>33</v>
      </c>
      <c r="E164" t="s">
        <v>55</v>
      </c>
      <c r="F164" t="s">
        <v>132</v>
      </c>
      <c r="G164">
        <v>3</v>
      </c>
      <c r="H164">
        <v>2150</v>
      </c>
      <c r="I164">
        <v>20</v>
      </c>
      <c r="J164">
        <v>5160</v>
      </c>
      <c r="K164">
        <v>3911.98</v>
      </c>
      <c r="L164">
        <v>1248.02</v>
      </c>
      <c r="M164" t="s">
        <v>18</v>
      </c>
      <c r="N164">
        <f t="shared" si="8"/>
        <v>8976490</v>
      </c>
      <c r="O164">
        <f t="shared" si="9"/>
        <v>2718539.9299999988</v>
      </c>
      <c r="P164">
        <f t="shared" si="10"/>
        <v>338</v>
      </c>
      <c r="Q164">
        <f t="shared" si="11"/>
        <v>136</v>
      </c>
    </row>
    <row r="165" spans="1:17" x14ac:dyDescent="0.25">
      <c r="A165" t="s">
        <v>322</v>
      </c>
      <c r="B165" s="3">
        <v>46377</v>
      </c>
      <c r="C165" t="s">
        <v>323</v>
      </c>
      <c r="D165" t="s">
        <v>59</v>
      </c>
      <c r="E165" t="s">
        <v>55</v>
      </c>
      <c r="F165" t="s">
        <v>179</v>
      </c>
      <c r="G165">
        <v>4</v>
      </c>
      <c r="H165">
        <v>3050</v>
      </c>
      <c r="I165">
        <v>5</v>
      </c>
      <c r="J165">
        <v>11590</v>
      </c>
      <c r="K165">
        <v>6940.42</v>
      </c>
      <c r="L165">
        <v>4649.58</v>
      </c>
      <c r="M165" t="s">
        <v>46</v>
      </c>
      <c r="N165">
        <f t="shared" si="8"/>
        <v>8971330</v>
      </c>
      <c r="O165">
        <f t="shared" si="9"/>
        <v>2717291.9099999988</v>
      </c>
      <c r="P165">
        <f t="shared" si="10"/>
        <v>337</v>
      </c>
      <c r="Q165">
        <f t="shared" si="11"/>
        <v>136</v>
      </c>
    </row>
    <row r="166" spans="1:17" x14ac:dyDescent="0.25">
      <c r="A166" t="s">
        <v>324</v>
      </c>
      <c r="B166" s="3">
        <v>46252</v>
      </c>
      <c r="C166" t="s">
        <v>196</v>
      </c>
      <c r="D166" t="s">
        <v>21</v>
      </c>
      <c r="E166" t="s">
        <v>22</v>
      </c>
      <c r="F166" t="s">
        <v>83</v>
      </c>
      <c r="G166">
        <v>2</v>
      </c>
      <c r="H166">
        <v>2000</v>
      </c>
      <c r="I166">
        <v>20</v>
      </c>
      <c r="J166">
        <v>3200</v>
      </c>
      <c r="K166">
        <v>2006.18</v>
      </c>
      <c r="L166">
        <v>1193.82</v>
      </c>
      <c r="M166" t="s">
        <v>24</v>
      </c>
      <c r="N166">
        <f t="shared" si="8"/>
        <v>8959740</v>
      </c>
      <c r="O166">
        <f t="shared" si="9"/>
        <v>2712642.3299999987</v>
      </c>
      <c r="P166">
        <f t="shared" si="10"/>
        <v>336</v>
      </c>
      <c r="Q166">
        <f t="shared" si="11"/>
        <v>136</v>
      </c>
    </row>
    <row r="167" spans="1:17" x14ac:dyDescent="0.25">
      <c r="A167" t="s">
        <v>325</v>
      </c>
      <c r="B167" s="3">
        <v>46259</v>
      </c>
      <c r="C167" t="s">
        <v>212</v>
      </c>
      <c r="D167" t="s">
        <v>27</v>
      </c>
      <c r="E167" t="s">
        <v>34</v>
      </c>
      <c r="F167" t="s">
        <v>69</v>
      </c>
      <c r="G167">
        <v>2</v>
      </c>
      <c r="H167">
        <v>3400</v>
      </c>
      <c r="I167">
        <v>20</v>
      </c>
      <c r="J167">
        <v>5440</v>
      </c>
      <c r="K167">
        <v>4437.95</v>
      </c>
      <c r="L167">
        <v>1002.05</v>
      </c>
      <c r="M167" t="s">
        <v>18</v>
      </c>
      <c r="N167">
        <f t="shared" si="8"/>
        <v>8956540</v>
      </c>
      <c r="O167">
        <f t="shared" si="9"/>
        <v>2711448.5099999984</v>
      </c>
      <c r="P167">
        <f t="shared" si="10"/>
        <v>335</v>
      </c>
      <c r="Q167">
        <f t="shared" si="11"/>
        <v>136</v>
      </c>
    </row>
    <row r="168" spans="1:17" x14ac:dyDescent="0.25">
      <c r="A168" t="s">
        <v>326</v>
      </c>
      <c r="B168" s="3">
        <v>46151</v>
      </c>
      <c r="C168" t="s">
        <v>120</v>
      </c>
      <c r="D168" t="s">
        <v>59</v>
      </c>
      <c r="E168" t="s">
        <v>28</v>
      </c>
      <c r="F168" t="s">
        <v>29</v>
      </c>
      <c r="G168">
        <v>2</v>
      </c>
      <c r="H168">
        <v>550</v>
      </c>
      <c r="I168">
        <v>20</v>
      </c>
      <c r="J168">
        <v>880</v>
      </c>
      <c r="K168">
        <v>516.88</v>
      </c>
      <c r="L168">
        <v>363.12</v>
      </c>
      <c r="M168" t="s">
        <v>30</v>
      </c>
      <c r="N168">
        <f t="shared" si="8"/>
        <v>8951100</v>
      </c>
      <c r="O168">
        <f t="shared" si="9"/>
        <v>2710446.4599999986</v>
      </c>
      <c r="P168">
        <f t="shared" si="10"/>
        <v>334</v>
      </c>
      <c r="Q168">
        <f t="shared" si="11"/>
        <v>135</v>
      </c>
    </row>
    <row r="169" spans="1:17" x14ac:dyDescent="0.25">
      <c r="A169" t="s">
        <v>327</v>
      </c>
      <c r="B169" s="3">
        <v>46105</v>
      </c>
      <c r="C169" t="s">
        <v>48</v>
      </c>
      <c r="D169" t="s">
        <v>59</v>
      </c>
      <c r="E169" t="s">
        <v>28</v>
      </c>
      <c r="F169" t="s">
        <v>78</v>
      </c>
      <c r="G169">
        <v>5</v>
      </c>
      <c r="H169">
        <v>400</v>
      </c>
      <c r="I169">
        <v>10</v>
      </c>
      <c r="J169">
        <v>1800</v>
      </c>
      <c r="K169">
        <v>1030.76</v>
      </c>
      <c r="L169">
        <v>769.24</v>
      </c>
      <c r="M169" t="s">
        <v>18</v>
      </c>
      <c r="N169">
        <f t="shared" si="8"/>
        <v>8950220</v>
      </c>
      <c r="O169">
        <f t="shared" si="9"/>
        <v>2710083.3399999985</v>
      </c>
      <c r="P169">
        <f t="shared" si="10"/>
        <v>333</v>
      </c>
      <c r="Q169">
        <f t="shared" si="11"/>
        <v>135</v>
      </c>
    </row>
    <row r="170" spans="1:17" x14ac:dyDescent="0.25">
      <c r="A170" t="s">
        <v>328</v>
      </c>
      <c r="B170" s="3">
        <v>46036</v>
      </c>
      <c r="C170" t="s">
        <v>160</v>
      </c>
      <c r="D170" t="s">
        <v>75</v>
      </c>
      <c r="E170" t="s">
        <v>55</v>
      </c>
      <c r="F170" t="s">
        <v>56</v>
      </c>
      <c r="G170">
        <v>1</v>
      </c>
      <c r="H170">
        <v>4150</v>
      </c>
      <c r="I170">
        <v>15</v>
      </c>
      <c r="J170">
        <v>3527.5</v>
      </c>
      <c r="K170">
        <v>2782.67</v>
      </c>
      <c r="L170">
        <v>744.83</v>
      </c>
      <c r="M170" t="s">
        <v>63</v>
      </c>
      <c r="N170">
        <f t="shared" si="8"/>
        <v>8948420</v>
      </c>
      <c r="O170">
        <f t="shared" si="9"/>
        <v>2709314.0999999987</v>
      </c>
      <c r="P170">
        <f t="shared" si="10"/>
        <v>332</v>
      </c>
      <c r="Q170">
        <f t="shared" si="11"/>
        <v>135</v>
      </c>
    </row>
    <row r="171" spans="1:17" x14ac:dyDescent="0.25">
      <c r="A171" t="s">
        <v>329</v>
      </c>
      <c r="B171" s="3">
        <v>46037</v>
      </c>
      <c r="C171" t="s">
        <v>330</v>
      </c>
      <c r="D171" t="s">
        <v>15</v>
      </c>
      <c r="E171" t="s">
        <v>28</v>
      </c>
      <c r="F171" t="s">
        <v>41</v>
      </c>
      <c r="G171">
        <v>2</v>
      </c>
      <c r="H171">
        <v>950</v>
      </c>
      <c r="I171">
        <v>0</v>
      </c>
      <c r="J171">
        <v>1900</v>
      </c>
      <c r="K171">
        <v>1237.33</v>
      </c>
      <c r="L171">
        <v>662.67</v>
      </c>
      <c r="M171" t="s">
        <v>30</v>
      </c>
      <c r="N171">
        <f t="shared" si="8"/>
        <v>8944892.5</v>
      </c>
      <c r="O171">
        <f t="shared" si="9"/>
        <v>2708569.2699999986</v>
      </c>
      <c r="P171">
        <f t="shared" si="10"/>
        <v>331</v>
      </c>
      <c r="Q171">
        <f t="shared" si="11"/>
        <v>135</v>
      </c>
    </row>
    <row r="172" spans="1:17" x14ac:dyDescent="0.25">
      <c r="A172" t="s">
        <v>331</v>
      </c>
      <c r="B172" s="3">
        <v>46094</v>
      </c>
      <c r="C172" t="s">
        <v>332</v>
      </c>
      <c r="D172" t="s">
        <v>59</v>
      </c>
      <c r="E172" t="s">
        <v>55</v>
      </c>
      <c r="F172" t="s">
        <v>97</v>
      </c>
      <c r="G172">
        <v>1</v>
      </c>
      <c r="H172">
        <v>5200</v>
      </c>
      <c r="I172">
        <v>15</v>
      </c>
      <c r="J172">
        <v>4420</v>
      </c>
      <c r="K172">
        <v>3261.69</v>
      </c>
      <c r="L172">
        <v>1158.31</v>
      </c>
      <c r="M172" t="s">
        <v>18</v>
      </c>
      <c r="N172">
        <f t="shared" si="8"/>
        <v>8942992.5</v>
      </c>
      <c r="O172">
        <f t="shared" si="9"/>
        <v>2707906.5999999987</v>
      </c>
      <c r="P172">
        <f t="shared" si="10"/>
        <v>330</v>
      </c>
      <c r="Q172">
        <f t="shared" si="11"/>
        <v>135</v>
      </c>
    </row>
    <row r="173" spans="1:17" x14ac:dyDescent="0.25">
      <c r="A173" t="s">
        <v>333</v>
      </c>
      <c r="B173" s="3">
        <v>46303</v>
      </c>
      <c r="C173" t="s">
        <v>115</v>
      </c>
      <c r="D173" t="s">
        <v>27</v>
      </c>
      <c r="E173" t="s">
        <v>16</v>
      </c>
      <c r="F173" t="s">
        <v>17</v>
      </c>
      <c r="G173">
        <v>1</v>
      </c>
      <c r="H173">
        <v>34750</v>
      </c>
      <c r="I173">
        <v>5</v>
      </c>
      <c r="J173">
        <v>33012.5</v>
      </c>
      <c r="K173">
        <v>25599.21</v>
      </c>
      <c r="L173">
        <v>7413.29</v>
      </c>
      <c r="M173" t="s">
        <v>46</v>
      </c>
      <c r="N173">
        <f t="shared" si="8"/>
        <v>8938572.5</v>
      </c>
      <c r="O173">
        <f t="shared" si="9"/>
        <v>2706748.2899999986</v>
      </c>
      <c r="P173">
        <f t="shared" si="10"/>
        <v>329</v>
      </c>
      <c r="Q173">
        <f t="shared" si="11"/>
        <v>135</v>
      </c>
    </row>
    <row r="174" spans="1:17" x14ac:dyDescent="0.25">
      <c r="A174" t="s">
        <v>334</v>
      </c>
      <c r="B174" s="3">
        <v>46350</v>
      </c>
      <c r="C174" t="s">
        <v>185</v>
      </c>
      <c r="D174" t="s">
        <v>15</v>
      </c>
      <c r="E174" t="s">
        <v>34</v>
      </c>
      <c r="F174" t="s">
        <v>35</v>
      </c>
      <c r="G174">
        <v>3</v>
      </c>
      <c r="H174">
        <v>1400</v>
      </c>
      <c r="I174">
        <v>0</v>
      </c>
      <c r="J174">
        <v>4200</v>
      </c>
      <c r="K174">
        <v>2580.39</v>
      </c>
      <c r="L174">
        <v>1619.61</v>
      </c>
      <c r="M174" t="s">
        <v>46</v>
      </c>
      <c r="N174">
        <f t="shared" si="8"/>
        <v>8905560</v>
      </c>
      <c r="O174">
        <f t="shared" si="9"/>
        <v>2699334.9999999986</v>
      </c>
      <c r="P174">
        <f t="shared" si="10"/>
        <v>328</v>
      </c>
      <c r="Q174">
        <f t="shared" si="11"/>
        <v>135</v>
      </c>
    </row>
    <row r="175" spans="1:17" x14ac:dyDescent="0.25">
      <c r="A175" t="s">
        <v>335</v>
      </c>
      <c r="B175" s="3">
        <v>46096</v>
      </c>
      <c r="C175" t="s">
        <v>40</v>
      </c>
      <c r="D175" t="s">
        <v>27</v>
      </c>
      <c r="E175" t="s">
        <v>22</v>
      </c>
      <c r="F175" t="s">
        <v>104</v>
      </c>
      <c r="G175">
        <v>5</v>
      </c>
      <c r="H175">
        <v>250</v>
      </c>
      <c r="I175">
        <v>20</v>
      </c>
      <c r="J175">
        <v>1000</v>
      </c>
      <c r="K175">
        <v>705.26</v>
      </c>
      <c r="L175">
        <v>294.74</v>
      </c>
      <c r="M175" t="s">
        <v>46</v>
      </c>
      <c r="N175">
        <f t="shared" si="8"/>
        <v>8901360</v>
      </c>
      <c r="O175">
        <f t="shared" si="9"/>
        <v>2697715.3899999983</v>
      </c>
      <c r="P175">
        <f t="shared" si="10"/>
        <v>327</v>
      </c>
      <c r="Q175">
        <f t="shared" si="11"/>
        <v>135</v>
      </c>
    </row>
    <row r="176" spans="1:17" x14ac:dyDescent="0.25">
      <c r="A176" t="s">
        <v>336</v>
      </c>
      <c r="B176" s="3">
        <v>46365</v>
      </c>
      <c r="C176" t="s">
        <v>317</v>
      </c>
      <c r="D176" t="s">
        <v>21</v>
      </c>
      <c r="E176" t="s">
        <v>28</v>
      </c>
      <c r="F176" t="s">
        <v>41</v>
      </c>
      <c r="G176">
        <v>2</v>
      </c>
      <c r="H176">
        <v>1300</v>
      </c>
      <c r="I176">
        <v>15</v>
      </c>
      <c r="J176">
        <v>2210</v>
      </c>
      <c r="K176">
        <v>1327.27</v>
      </c>
      <c r="L176">
        <v>882.73</v>
      </c>
      <c r="M176" t="s">
        <v>30</v>
      </c>
      <c r="N176">
        <f t="shared" si="8"/>
        <v>8900360</v>
      </c>
      <c r="O176">
        <f t="shared" si="9"/>
        <v>2697420.6499999985</v>
      </c>
      <c r="P176">
        <f t="shared" si="10"/>
        <v>326</v>
      </c>
      <c r="Q176">
        <f t="shared" si="11"/>
        <v>135</v>
      </c>
    </row>
    <row r="177" spans="1:17" x14ac:dyDescent="0.25">
      <c r="A177" t="s">
        <v>337</v>
      </c>
      <c r="B177" s="3">
        <v>46222</v>
      </c>
      <c r="C177" t="s">
        <v>332</v>
      </c>
      <c r="D177" t="s">
        <v>75</v>
      </c>
      <c r="E177" t="s">
        <v>16</v>
      </c>
      <c r="F177" t="s">
        <v>240</v>
      </c>
      <c r="G177">
        <v>5</v>
      </c>
      <c r="H177">
        <v>67700</v>
      </c>
      <c r="I177">
        <v>20</v>
      </c>
      <c r="J177">
        <v>270800</v>
      </c>
      <c r="K177">
        <v>189457.37</v>
      </c>
      <c r="L177">
        <v>81342.63</v>
      </c>
      <c r="M177" t="s">
        <v>63</v>
      </c>
      <c r="N177">
        <f t="shared" si="8"/>
        <v>8898150</v>
      </c>
      <c r="O177">
        <f t="shared" si="9"/>
        <v>2696537.9199999985</v>
      </c>
      <c r="P177">
        <f t="shared" si="10"/>
        <v>325</v>
      </c>
      <c r="Q177">
        <f t="shared" si="11"/>
        <v>135</v>
      </c>
    </row>
    <row r="178" spans="1:17" x14ac:dyDescent="0.25">
      <c r="A178" t="s">
        <v>338</v>
      </c>
      <c r="B178" s="3">
        <v>46359</v>
      </c>
      <c r="C178" t="s">
        <v>220</v>
      </c>
      <c r="D178" t="s">
        <v>52</v>
      </c>
      <c r="E178" t="s">
        <v>34</v>
      </c>
      <c r="F178" t="s">
        <v>116</v>
      </c>
      <c r="G178">
        <v>1</v>
      </c>
      <c r="H178">
        <v>3300</v>
      </c>
      <c r="I178">
        <v>0</v>
      </c>
      <c r="J178">
        <v>3300</v>
      </c>
      <c r="K178">
        <v>2122.2199999999998</v>
      </c>
      <c r="L178">
        <v>1177.78</v>
      </c>
      <c r="M178" t="s">
        <v>30</v>
      </c>
      <c r="N178">
        <f t="shared" si="8"/>
        <v>8627350</v>
      </c>
      <c r="O178">
        <f t="shared" si="9"/>
        <v>2615195.2899999982</v>
      </c>
      <c r="P178">
        <f t="shared" si="10"/>
        <v>324</v>
      </c>
      <c r="Q178">
        <f t="shared" si="11"/>
        <v>135</v>
      </c>
    </row>
    <row r="179" spans="1:17" x14ac:dyDescent="0.25">
      <c r="A179" t="s">
        <v>339</v>
      </c>
      <c r="B179" s="3">
        <v>46112</v>
      </c>
      <c r="C179" t="s">
        <v>340</v>
      </c>
      <c r="D179" t="s">
        <v>59</v>
      </c>
      <c r="E179" t="s">
        <v>55</v>
      </c>
      <c r="F179" t="s">
        <v>132</v>
      </c>
      <c r="G179">
        <v>3</v>
      </c>
      <c r="H179">
        <v>9450</v>
      </c>
      <c r="I179">
        <v>10</v>
      </c>
      <c r="J179">
        <v>25515</v>
      </c>
      <c r="K179">
        <v>19637.55</v>
      </c>
      <c r="L179">
        <v>5877.45</v>
      </c>
      <c r="M179" t="s">
        <v>24</v>
      </c>
      <c r="N179">
        <f t="shared" si="8"/>
        <v>8624050</v>
      </c>
      <c r="O179">
        <f t="shared" si="9"/>
        <v>2614017.5099999984</v>
      </c>
      <c r="P179">
        <f t="shared" si="10"/>
        <v>323</v>
      </c>
      <c r="Q179">
        <f t="shared" si="11"/>
        <v>135</v>
      </c>
    </row>
    <row r="180" spans="1:17" x14ac:dyDescent="0.25">
      <c r="A180" t="s">
        <v>341</v>
      </c>
      <c r="B180" s="3">
        <v>46125</v>
      </c>
      <c r="C180" t="s">
        <v>106</v>
      </c>
      <c r="D180" t="s">
        <v>33</v>
      </c>
      <c r="E180" t="s">
        <v>55</v>
      </c>
      <c r="F180" t="s">
        <v>132</v>
      </c>
      <c r="G180">
        <v>4</v>
      </c>
      <c r="H180">
        <v>1100</v>
      </c>
      <c r="I180">
        <v>10</v>
      </c>
      <c r="J180">
        <v>3960</v>
      </c>
      <c r="K180">
        <v>2393.54</v>
      </c>
      <c r="L180">
        <v>1566.46</v>
      </c>
      <c r="M180" t="s">
        <v>30</v>
      </c>
      <c r="N180">
        <f t="shared" si="8"/>
        <v>8598535</v>
      </c>
      <c r="O180">
        <f t="shared" si="9"/>
        <v>2608140.0599999982</v>
      </c>
      <c r="P180">
        <f t="shared" si="10"/>
        <v>322</v>
      </c>
      <c r="Q180">
        <f t="shared" si="11"/>
        <v>134</v>
      </c>
    </row>
    <row r="181" spans="1:17" x14ac:dyDescent="0.25">
      <c r="A181" t="s">
        <v>342</v>
      </c>
      <c r="B181" s="3">
        <v>46354</v>
      </c>
      <c r="C181" t="s">
        <v>343</v>
      </c>
      <c r="D181" t="s">
        <v>44</v>
      </c>
      <c r="E181" t="s">
        <v>28</v>
      </c>
      <c r="F181" t="s">
        <v>29</v>
      </c>
      <c r="G181">
        <v>5</v>
      </c>
      <c r="H181">
        <v>1100</v>
      </c>
      <c r="I181">
        <v>10</v>
      </c>
      <c r="J181">
        <v>4950</v>
      </c>
      <c r="K181">
        <v>2771.44</v>
      </c>
      <c r="L181">
        <v>2178.56</v>
      </c>
      <c r="M181" t="s">
        <v>30</v>
      </c>
      <c r="N181">
        <f t="shared" si="8"/>
        <v>8594575</v>
      </c>
      <c r="O181">
        <f t="shared" si="9"/>
        <v>2606573.5999999982</v>
      </c>
      <c r="P181">
        <f t="shared" si="10"/>
        <v>321</v>
      </c>
      <c r="Q181">
        <f t="shared" si="11"/>
        <v>134</v>
      </c>
    </row>
    <row r="182" spans="1:17" x14ac:dyDescent="0.25">
      <c r="A182" t="s">
        <v>344</v>
      </c>
      <c r="B182" s="3">
        <v>46227</v>
      </c>
      <c r="C182" t="s">
        <v>345</v>
      </c>
      <c r="D182" t="s">
        <v>27</v>
      </c>
      <c r="E182" t="s">
        <v>16</v>
      </c>
      <c r="F182" t="s">
        <v>72</v>
      </c>
      <c r="G182">
        <v>3</v>
      </c>
      <c r="H182">
        <v>17500</v>
      </c>
      <c r="I182">
        <v>10</v>
      </c>
      <c r="J182">
        <v>47250</v>
      </c>
      <c r="K182">
        <v>31561.91</v>
      </c>
      <c r="L182">
        <v>15688.09</v>
      </c>
      <c r="M182" t="s">
        <v>30</v>
      </c>
      <c r="N182">
        <f t="shared" si="8"/>
        <v>8589625</v>
      </c>
      <c r="O182">
        <f t="shared" si="9"/>
        <v>2604395.0399999982</v>
      </c>
      <c r="P182">
        <f t="shared" si="10"/>
        <v>320</v>
      </c>
      <c r="Q182">
        <f t="shared" si="11"/>
        <v>134</v>
      </c>
    </row>
    <row r="183" spans="1:17" x14ac:dyDescent="0.25">
      <c r="A183" t="s">
        <v>346</v>
      </c>
      <c r="B183" s="3">
        <v>46065</v>
      </c>
      <c r="C183" t="s">
        <v>93</v>
      </c>
      <c r="D183" t="s">
        <v>15</v>
      </c>
      <c r="E183" t="s">
        <v>55</v>
      </c>
      <c r="F183" t="s">
        <v>56</v>
      </c>
      <c r="G183">
        <v>4</v>
      </c>
      <c r="H183">
        <v>6500</v>
      </c>
      <c r="I183">
        <v>20</v>
      </c>
      <c r="J183">
        <v>20800</v>
      </c>
      <c r="K183">
        <v>12937.9</v>
      </c>
      <c r="L183">
        <v>7862.1</v>
      </c>
      <c r="M183" t="s">
        <v>63</v>
      </c>
      <c r="N183">
        <f t="shared" si="8"/>
        <v>8542375</v>
      </c>
      <c r="O183">
        <f t="shared" si="9"/>
        <v>2588706.9499999983</v>
      </c>
      <c r="P183">
        <f t="shared" si="10"/>
        <v>319</v>
      </c>
      <c r="Q183">
        <f t="shared" si="11"/>
        <v>134</v>
      </c>
    </row>
    <row r="184" spans="1:17" x14ac:dyDescent="0.25">
      <c r="A184" t="s">
        <v>347</v>
      </c>
      <c r="B184" s="3">
        <v>46190</v>
      </c>
      <c r="C184" t="s">
        <v>250</v>
      </c>
      <c r="D184" t="s">
        <v>44</v>
      </c>
      <c r="E184" t="s">
        <v>28</v>
      </c>
      <c r="F184" t="s">
        <v>49</v>
      </c>
      <c r="G184">
        <v>5</v>
      </c>
      <c r="H184">
        <v>750</v>
      </c>
      <c r="I184">
        <v>10</v>
      </c>
      <c r="J184">
        <v>3375</v>
      </c>
      <c r="K184">
        <v>1949.74</v>
      </c>
      <c r="L184">
        <v>1425.26</v>
      </c>
      <c r="M184" t="s">
        <v>63</v>
      </c>
      <c r="N184">
        <f t="shared" si="8"/>
        <v>8521575</v>
      </c>
      <c r="O184">
        <f t="shared" si="9"/>
        <v>2580844.8499999982</v>
      </c>
      <c r="P184">
        <f t="shared" si="10"/>
        <v>318</v>
      </c>
      <c r="Q184">
        <f t="shared" si="11"/>
        <v>134</v>
      </c>
    </row>
    <row r="185" spans="1:17" x14ac:dyDescent="0.25">
      <c r="A185" t="s">
        <v>348</v>
      </c>
      <c r="B185" s="3">
        <v>46044</v>
      </c>
      <c r="C185" t="s">
        <v>349</v>
      </c>
      <c r="D185" t="s">
        <v>52</v>
      </c>
      <c r="E185" t="s">
        <v>28</v>
      </c>
      <c r="F185" t="s">
        <v>29</v>
      </c>
      <c r="G185">
        <v>2</v>
      </c>
      <c r="H185">
        <v>1550</v>
      </c>
      <c r="I185">
        <v>15</v>
      </c>
      <c r="J185">
        <v>2635</v>
      </c>
      <c r="K185">
        <v>1699.36</v>
      </c>
      <c r="L185">
        <v>935.64</v>
      </c>
      <c r="M185" t="s">
        <v>63</v>
      </c>
      <c r="N185">
        <f t="shared" si="8"/>
        <v>8518200</v>
      </c>
      <c r="O185">
        <f t="shared" si="9"/>
        <v>2579419.5899999985</v>
      </c>
      <c r="P185">
        <f t="shared" si="10"/>
        <v>317</v>
      </c>
      <c r="Q185">
        <f t="shared" si="11"/>
        <v>134</v>
      </c>
    </row>
    <row r="186" spans="1:17" x14ac:dyDescent="0.25">
      <c r="A186" t="s">
        <v>350</v>
      </c>
      <c r="B186" s="3">
        <v>46370</v>
      </c>
      <c r="C186" t="s">
        <v>26</v>
      </c>
      <c r="D186" t="s">
        <v>75</v>
      </c>
      <c r="E186" t="s">
        <v>34</v>
      </c>
      <c r="F186" t="s">
        <v>38</v>
      </c>
      <c r="G186">
        <v>1</v>
      </c>
      <c r="H186">
        <v>5900</v>
      </c>
      <c r="I186">
        <v>15</v>
      </c>
      <c r="J186">
        <v>5015</v>
      </c>
      <c r="K186">
        <v>3250.19</v>
      </c>
      <c r="L186">
        <v>1764.81</v>
      </c>
      <c r="M186" t="s">
        <v>24</v>
      </c>
      <c r="N186">
        <f t="shared" si="8"/>
        <v>8515565</v>
      </c>
      <c r="O186">
        <f t="shared" si="9"/>
        <v>2578483.9499999983</v>
      </c>
      <c r="P186">
        <f t="shared" si="10"/>
        <v>316</v>
      </c>
      <c r="Q186">
        <f t="shared" si="11"/>
        <v>134</v>
      </c>
    </row>
    <row r="187" spans="1:17" x14ac:dyDescent="0.25">
      <c r="A187" t="s">
        <v>351</v>
      </c>
      <c r="B187" s="3">
        <v>46353</v>
      </c>
      <c r="C187" t="s">
        <v>126</v>
      </c>
      <c r="D187" t="s">
        <v>33</v>
      </c>
      <c r="E187" t="s">
        <v>28</v>
      </c>
      <c r="F187" t="s">
        <v>29</v>
      </c>
      <c r="G187">
        <v>1</v>
      </c>
      <c r="H187">
        <v>400</v>
      </c>
      <c r="I187">
        <v>0</v>
      </c>
      <c r="J187">
        <v>400</v>
      </c>
      <c r="K187">
        <v>245.49</v>
      </c>
      <c r="L187">
        <v>154.51</v>
      </c>
      <c r="M187" t="s">
        <v>63</v>
      </c>
      <c r="N187">
        <f t="shared" si="8"/>
        <v>8510550</v>
      </c>
      <c r="O187">
        <f t="shared" si="9"/>
        <v>2576719.1399999987</v>
      </c>
      <c r="P187">
        <f t="shared" si="10"/>
        <v>315</v>
      </c>
      <c r="Q187">
        <f t="shared" si="11"/>
        <v>134</v>
      </c>
    </row>
    <row r="188" spans="1:17" x14ac:dyDescent="0.25">
      <c r="A188" t="s">
        <v>352</v>
      </c>
      <c r="B188" s="3">
        <v>46213</v>
      </c>
      <c r="C188" t="s">
        <v>225</v>
      </c>
      <c r="D188" t="s">
        <v>15</v>
      </c>
      <c r="E188" t="s">
        <v>28</v>
      </c>
      <c r="F188" t="s">
        <v>78</v>
      </c>
      <c r="G188">
        <v>5</v>
      </c>
      <c r="H188">
        <v>450</v>
      </c>
      <c r="I188">
        <v>15</v>
      </c>
      <c r="J188">
        <v>1912.5</v>
      </c>
      <c r="K188">
        <v>1541.82</v>
      </c>
      <c r="L188">
        <v>370.68</v>
      </c>
      <c r="M188" t="s">
        <v>18</v>
      </c>
      <c r="N188">
        <f t="shared" si="8"/>
        <v>8510150</v>
      </c>
      <c r="O188">
        <f t="shared" si="9"/>
        <v>2576564.6299999985</v>
      </c>
      <c r="P188">
        <f t="shared" si="10"/>
        <v>314</v>
      </c>
      <c r="Q188">
        <f t="shared" si="11"/>
        <v>134</v>
      </c>
    </row>
    <row r="189" spans="1:17" x14ac:dyDescent="0.25">
      <c r="A189" t="s">
        <v>353</v>
      </c>
      <c r="B189" s="3">
        <v>46150</v>
      </c>
      <c r="C189" t="s">
        <v>295</v>
      </c>
      <c r="D189" t="s">
        <v>75</v>
      </c>
      <c r="E189" t="s">
        <v>55</v>
      </c>
      <c r="F189" t="s">
        <v>179</v>
      </c>
      <c r="G189">
        <v>3</v>
      </c>
      <c r="H189">
        <v>7000</v>
      </c>
      <c r="I189">
        <v>10</v>
      </c>
      <c r="J189">
        <v>18900</v>
      </c>
      <c r="K189">
        <v>13709.71</v>
      </c>
      <c r="L189">
        <v>5190.29</v>
      </c>
      <c r="M189" t="s">
        <v>24</v>
      </c>
      <c r="N189">
        <f t="shared" si="8"/>
        <v>8508237.5</v>
      </c>
      <c r="O189">
        <f t="shared" si="9"/>
        <v>2576193.9499999983</v>
      </c>
      <c r="P189">
        <f t="shared" si="10"/>
        <v>313</v>
      </c>
      <c r="Q189">
        <f t="shared" si="11"/>
        <v>134</v>
      </c>
    </row>
    <row r="190" spans="1:17" x14ac:dyDescent="0.25">
      <c r="A190" t="s">
        <v>354</v>
      </c>
      <c r="B190" s="3">
        <v>46156</v>
      </c>
      <c r="C190" t="s">
        <v>355</v>
      </c>
      <c r="D190" t="s">
        <v>80</v>
      </c>
      <c r="E190" t="s">
        <v>22</v>
      </c>
      <c r="F190" t="s">
        <v>104</v>
      </c>
      <c r="G190">
        <v>4</v>
      </c>
      <c r="H190">
        <v>2500</v>
      </c>
      <c r="I190">
        <v>0</v>
      </c>
      <c r="J190">
        <v>10000</v>
      </c>
      <c r="K190">
        <v>6206.8</v>
      </c>
      <c r="L190">
        <v>3793.2</v>
      </c>
      <c r="M190" t="s">
        <v>18</v>
      </c>
      <c r="N190">
        <f t="shared" si="8"/>
        <v>8489337.5</v>
      </c>
      <c r="O190">
        <f t="shared" si="9"/>
        <v>2571003.6599999983</v>
      </c>
      <c r="P190">
        <f t="shared" si="10"/>
        <v>312</v>
      </c>
      <c r="Q190">
        <f t="shared" si="11"/>
        <v>134</v>
      </c>
    </row>
    <row r="191" spans="1:17" x14ac:dyDescent="0.25">
      <c r="A191" t="s">
        <v>356</v>
      </c>
      <c r="B191" s="3">
        <v>46254</v>
      </c>
      <c r="C191" t="s">
        <v>357</v>
      </c>
      <c r="D191" t="s">
        <v>59</v>
      </c>
      <c r="E191" t="s">
        <v>34</v>
      </c>
      <c r="F191" t="s">
        <v>69</v>
      </c>
      <c r="G191">
        <v>2</v>
      </c>
      <c r="H191">
        <v>1400</v>
      </c>
      <c r="I191">
        <v>5</v>
      </c>
      <c r="J191">
        <v>2660</v>
      </c>
      <c r="K191">
        <v>2075.5</v>
      </c>
      <c r="L191">
        <v>584.5</v>
      </c>
      <c r="M191" t="s">
        <v>46</v>
      </c>
      <c r="N191">
        <f t="shared" si="8"/>
        <v>8479337.5</v>
      </c>
      <c r="O191">
        <f t="shared" si="9"/>
        <v>2567210.4599999986</v>
      </c>
      <c r="P191">
        <f t="shared" si="10"/>
        <v>311</v>
      </c>
      <c r="Q191">
        <f t="shared" si="11"/>
        <v>134</v>
      </c>
    </row>
    <row r="192" spans="1:17" x14ac:dyDescent="0.25">
      <c r="A192" t="s">
        <v>358</v>
      </c>
      <c r="B192" s="3">
        <v>46176</v>
      </c>
      <c r="C192" t="s">
        <v>26</v>
      </c>
      <c r="D192" t="s">
        <v>68</v>
      </c>
      <c r="E192" t="s">
        <v>34</v>
      </c>
      <c r="F192" t="s">
        <v>116</v>
      </c>
      <c r="G192">
        <v>1</v>
      </c>
      <c r="H192">
        <v>4900</v>
      </c>
      <c r="I192">
        <v>20</v>
      </c>
      <c r="J192">
        <v>3920</v>
      </c>
      <c r="K192">
        <v>2463.3200000000002</v>
      </c>
      <c r="L192">
        <v>1456.68</v>
      </c>
      <c r="M192" t="s">
        <v>30</v>
      </c>
      <c r="N192">
        <f t="shared" si="8"/>
        <v>8476677.5</v>
      </c>
      <c r="O192">
        <f t="shared" si="9"/>
        <v>2566625.9599999986</v>
      </c>
      <c r="P192">
        <f t="shared" si="10"/>
        <v>310</v>
      </c>
      <c r="Q192">
        <f t="shared" si="11"/>
        <v>134</v>
      </c>
    </row>
    <row r="193" spans="1:17" x14ac:dyDescent="0.25">
      <c r="A193" t="s">
        <v>359</v>
      </c>
      <c r="B193" s="3">
        <v>46275</v>
      </c>
      <c r="C193" t="s">
        <v>20</v>
      </c>
      <c r="D193" t="s">
        <v>33</v>
      </c>
      <c r="E193" t="s">
        <v>28</v>
      </c>
      <c r="F193" t="s">
        <v>49</v>
      </c>
      <c r="G193">
        <v>1</v>
      </c>
      <c r="H193">
        <v>550</v>
      </c>
      <c r="I193">
        <v>5</v>
      </c>
      <c r="J193">
        <v>522.5</v>
      </c>
      <c r="K193">
        <v>320.77</v>
      </c>
      <c r="L193">
        <v>201.73</v>
      </c>
      <c r="M193" t="s">
        <v>18</v>
      </c>
      <c r="N193">
        <f t="shared" si="8"/>
        <v>8472757.5</v>
      </c>
      <c r="O193">
        <f t="shared" si="9"/>
        <v>2565169.2799999984</v>
      </c>
      <c r="P193">
        <f t="shared" si="10"/>
        <v>309</v>
      </c>
      <c r="Q193">
        <f t="shared" si="11"/>
        <v>134</v>
      </c>
    </row>
    <row r="194" spans="1:17" x14ac:dyDescent="0.25">
      <c r="A194" t="s">
        <v>360</v>
      </c>
      <c r="B194" s="3">
        <v>46067</v>
      </c>
      <c r="C194" t="s">
        <v>82</v>
      </c>
      <c r="D194" t="s">
        <v>44</v>
      </c>
      <c r="E194" t="s">
        <v>28</v>
      </c>
      <c r="F194" t="s">
        <v>41</v>
      </c>
      <c r="G194">
        <v>4</v>
      </c>
      <c r="H194">
        <v>1800</v>
      </c>
      <c r="I194">
        <v>20</v>
      </c>
      <c r="J194">
        <v>5760</v>
      </c>
      <c r="K194">
        <v>3369.82</v>
      </c>
      <c r="L194">
        <v>2390.1799999999998</v>
      </c>
      <c r="M194" t="s">
        <v>63</v>
      </c>
      <c r="N194">
        <f t="shared" ref="N194:N257" si="12">SUM(J194:J693)</f>
        <v>8472235</v>
      </c>
      <c r="O194">
        <f t="shared" ref="O194:O257" si="13">SUM(L194:L693)</f>
        <v>2564967.5499999984</v>
      </c>
      <c r="P194">
        <f t="shared" ref="P194:P257" si="14">COUNTA(A194:A693)</f>
        <v>308</v>
      </c>
      <c r="Q194">
        <f t="shared" ref="Q194:Q257" si="15">COUNTA(_xlfn.UNIQUE(C194:C693))</f>
        <v>134</v>
      </c>
    </row>
    <row r="195" spans="1:17" x14ac:dyDescent="0.25">
      <c r="A195" t="s">
        <v>361</v>
      </c>
      <c r="B195" s="3">
        <v>46060</v>
      </c>
      <c r="C195" t="s">
        <v>77</v>
      </c>
      <c r="D195" t="s">
        <v>33</v>
      </c>
      <c r="E195" t="s">
        <v>22</v>
      </c>
      <c r="F195" t="s">
        <v>104</v>
      </c>
      <c r="G195">
        <v>4</v>
      </c>
      <c r="H195">
        <v>3350</v>
      </c>
      <c r="I195">
        <v>15</v>
      </c>
      <c r="J195">
        <v>11390</v>
      </c>
      <c r="K195">
        <v>8796.52</v>
      </c>
      <c r="L195">
        <v>2593.48</v>
      </c>
      <c r="M195" t="s">
        <v>46</v>
      </c>
      <c r="N195">
        <f t="shared" si="12"/>
        <v>8466475</v>
      </c>
      <c r="O195">
        <f t="shared" si="13"/>
        <v>2562577.3699999987</v>
      </c>
      <c r="P195">
        <f t="shared" si="14"/>
        <v>307</v>
      </c>
      <c r="Q195">
        <f t="shared" si="15"/>
        <v>134</v>
      </c>
    </row>
    <row r="196" spans="1:17" x14ac:dyDescent="0.25">
      <c r="A196" t="s">
        <v>362</v>
      </c>
      <c r="B196" s="3">
        <v>46305</v>
      </c>
      <c r="C196" t="s">
        <v>363</v>
      </c>
      <c r="D196" t="s">
        <v>68</v>
      </c>
      <c r="E196" t="s">
        <v>22</v>
      </c>
      <c r="F196" t="s">
        <v>165</v>
      </c>
      <c r="G196">
        <v>5</v>
      </c>
      <c r="H196">
        <v>1600</v>
      </c>
      <c r="I196">
        <v>5</v>
      </c>
      <c r="J196">
        <v>7600</v>
      </c>
      <c r="K196">
        <v>5981.57</v>
      </c>
      <c r="L196">
        <v>1618.43</v>
      </c>
      <c r="M196" t="s">
        <v>63</v>
      </c>
      <c r="N196">
        <f t="shared" si="12"/>
        <v>8455085</v>
      </c>
      <c r="O196">
        <f t="shared" si="13"/>
        <v>2559983.8899999987</v>
      </c>
      <c r="P196">
        <f t="shared" si="14"/>
        <v>306</v>
      </c>
      <c r="Q196">
        <f t="shared" si="15"/>
        <v>133</v>
      </c>
    </row>
    <row r="197" spans="1:17" x14ac:dyDescent="0.25">
      <c r="A197" t="s">
        <v>364</v>
      </c>
      <c r="B197" s="3">
        <v>46105</v>
      </c>
      <c r="C197" t="s">
        <v>274</v>
      </c>
      <c r="D197" t="s">
        <v>80</v>
      </c>
      <c r="E197" t="s">
        <v>28</v>
      </c>
      <c r="F197" t="s">
        <v>78</v>
      </c>
      <c r="G197">
        <v>1</v>
      </c>
      <c r="H197">
        <v>1200</v>
      </c>
      <c r="I197">
        <v>5</v>
      </c>
      <c r="J197">
        <v>1140</v>
      </c>
      <c r="K197">
        <v>720.61</v>
      </c>
      <c r="L197">
        <v>419.39</v>
      </c>
      <c r="M197" t="s">
        <v>30</v>
      </c>
      <c r="N197">
        <f t="shared" si="12"/>
        <v>8447485</v>
      </c>
      <c r="O197">
        <f t="shared" si="13"/>
        <v>2558365.4599999986</v>
      </c>
      <c r="P197">
        <f t="shared" si="14"/>
        <v>305</v>
      </c>
      <c r="Q197">
        <f t="shared" si="15"/>
        <v>133</v>
      </c>
    </row>
    <row r="198" spans="1:17" x14ac:dyDescent="0.25">
      <c r="A198" t="s">
        <v>365</v>
      </c>
      <c r="B198" s="3">
        <v>46305</v>
      </c>
      <c r="C198" t="s">
        <v>198</v>
      </c>
      <c r="D198" t="s">
        <v>68</v>
      </c>
      <c r="E198" t="s">
        <v>28</v>
      </c>
      <c r="F198" t="s">
        <v>41</v>
      </c>
      <c r="G198">
        <v>1</v>
      </c>
      <c r="H198">
        <v>650</v>
      </c>
      <c r="I198">
        <v>5</v>
      </c>
      <c r="J198">
        <v>617.5</v>
      </c>
      <c r="K198">
        <v>445.5</v>
      </c>
      <c r="L198">
        <v>172</v>
      </c>
      <c r="M198" t="s">
        <v>30</v>
      </c>
      <c r="N198">
        <f t="shared" si="12"/>
        <v>8446345</v>
      </c>
      <c r="O198">
        <f t="shared" si="13"/>
        <v>2557946.0699999984</v>
      </c>
      <c r="P198">
        <f t="shared" si="14"/>
        <v>304</v>
      </c>
      <c r="Q198">
        <f t="shared" si="15"/>
        <v>133</v>
      </c>
    </row>
    <row r="199" spans="1:17" x14ac:dyDescent="0.25">
      <c r="A199" t="s">
        <v>366</v>
      </c>
      <c r="B199" s="3">
        <v>46320</v>
      </c>
      <c r="C199" t="s">
        <v>118</v>
      </c>
      <c r="D199" t="s">
        <v>68</v>
      </c>
      <c r="E199" t="s">
        <v>28</v>
      </c>
      <c r="F199" t="s">
        <v>86</v>
      </c>
      <c r="G199">
        <v>1</v>
      </c>
      <c r="H199">
        <v>1200</v>
      </c>
      <c r="I199">
        <v>5</v>
      </c>
      <c r="J199">
        <v>1140</v>
      </c>
      <c r="K199">
        <v>809.16</v>
      </c>
      <c r="L199">
        <v>330.84</v>
      </c>
      <c r="M199" t="s">
        <v>18</v>
      </c>
      <c r="N199">
        <f t="shared" si="12"/>
        <v>8445727.5</v>
      </c>
      <c r="O199">
        <f t="shared" si="13"/>
        <v>2557774.0699999984</v>
      </c>
      <c r="P199">
        <f t="shared" si="14"/>
        <v>303</v>
      </c>
      <c r="Q199">
        <f t="shared" si="15"/>
        <v>133</v>
      </c>
    </row>
    <row r="200" spans="1:17" x14ac:dyDescent="0.25">
      <c r="A200" t="s">
        <v>367</v>
      </c>
      <c r="B200" s="3">
        <v>46351</v>
      </c>
      <c r="C200" t="s">
        <v>217</v>
      </c>
      <c r="D200" t="s">
        <v>44</v>
      </c>
      <c r="E200" t="s">
        <v>28</v>
      </c>
      <c r="F200" t="s">
        <v>41</v>
      </c>
      <c r="G200">
        <v>5</v>
      </c>
      <c r="H200">
        <v>250</v>
      </c>
      <c r="I200">
        <v>0</v>
      </c>
      <c r="J200">
        <v>1250</v>
      </c>
      <c r="K200">
        <v>714.91</v>
      </c>
      <c r="L200">
        <v>535.09</v>
      </c>
      <c r="M200" t="s">
        <v>24</v>
      </c>
      <c r="N200">
        <f t="shared" si="12"/>
        <v>8444587.5</v>
      </c>
      <c r="O200">
        <f t="shared" si="13"/>
        <v>2557443.2299999986</v>
      </c>
      <c r="P200">
        <f t="shared" si="14"/>
        <v>302</v>
      </c>
      <c r="Q200">
        <f t="shared" si="15"/>
        <v>133</v>
      </c>
    </row>
    <row r="201" spans="1:17" x14ac:dyDescent="0.25">
      <c r="A201" t="s">
        <v>368</v>
      </c>
      <c r="B201" s="3">
        <v>46344</v>
      </c>
      <c r="C201" t="s">
        <v>14</v>
      </c>
      <c r="D201" t="s">
        <v>44</v>
      </c>
      <c r="E201" t="s">
        <v>28</v>
      </c>
      <c r="F201" t="s">
        <v>29</v>
      </c>
      <c r="G201">
        <v>5</v>
      </c>
      <c r="H201">
        <v>1450</v>
      </c>
      <c r="I201">
        <v>0</v>
      </c>
      <c r="J201">
        <v>7250</v>
      </c>
      <c r="K201">
        <v>4962.41</v>
      </c>
      <c r="L201">
        <v>2287.59</v>
      </c>
      <c r="M201" t="s">
        <v>30</v>
      </c>
      <c r="N201">
        <f t="shared" si="12"/>
        <v>8443337.5</v>
      </c>
      <c r="O201">
        <f t="shared" si="13"/>
        <v>2556908.1399999987</v>
      </c>
      <c r="P201">
        <f t="shared" si="14"/>
        <v>301</v>
      </c>
      <c r="Q201">
        <f t="shared" si="15"/>
        <v>133</v>
      </c>
    </row>
    <row r="202" spans="1:17" x14ac:dyDescent="0.25">
      <c r="A202" t="s">
        <v>369</v>
      </c>
      <c r="B202" s="3">
        <v>46053</v>
      </c>
      <c r="C202" t="s">
        <v>26</v>
      </c>
      <c r="D202" t="s">
        <v>59</v>
      </c>
      <c r="E202" t="s">
        <v>22</v>
      </c>
      <c r="F202" t="s">
        <v>95</v>
      </c>
      <c r="G202">
        <v>4</v>
      </c>
      <c r="H202">
        <v>1400</v>
      </c>
      <c r="I202">
        <v>15</v>
      </c>
      <c r="J202">
        <v>4760</v>
      </c>
      <c r="K202">
        <v>2711.78</v>
      </c>
      <c r="L202">
        <v>2048.2199999999998</v>
      </c>
      <c r="M202" t="s">
        <v>63</v>
      </c>
      <c r="N202">
        <f t="shared" si="12"/>
        <v>8436087.5</v>
      </c>
      <c r="O202">
        <f t="shared" si="13"/>
        <v>2554620.5499999989</v>
      </c>
      <c r="P202">
        <f t="shared" si="14"/>
        <v>300</v>
      </c>
      <c r="Q202">
        <f t="shared" si="15"/>
        <v>133</v>
      </c>
    </row>
    <row r="203" spans="1:17" x14ac:dyDescent="0.25">
      <c r="A203" t="s">
        <v>370</v>
      </c>
      <c r="B203" s="3">
        <v>46186</v>
      </c>
      <c r="C203" t="s">
        <v>371</v>
      </c>
      <c r="D203" t="s">
        <v>27</v>
      </c>
      <c r="E203" t="s">
        <v>22</v>
      </c>
      <c r="F203" t="s">
        <v>165</v>
      </c>
      <c r="G203">
        <v>2</v>
      </c>
      <c r="H203">
        <v>1600</v>
      </c>
      <c r="I203">
        <v>20</v>
      </c>
      <c r="J203">
        <v>2560</v>
      </c>
      <c r="K203">
        <v>1507.3</v>
      </c>
      <c r="L203">
        <v>1052.7</v>
      </c>
      <c r="M203" t="s">
        <v>24</v>
      </c>
      <c r="N203">
        <f t="shared" si="12"/>
        <v>8431327.5</v>
      </c>
      <c r="O203">
        <f t="shared" si="13"/>
        <v>2552572.3299999987</v>
      </c>
      <c r="P203">
        <f t="shared" si="14"/>
        <v>299</v>
      </c>
      <c r="Q203">
        <f t="shared" si="15"/>
        <v>133</v>
      </c>
    </row>
    <row r="204" spans="1:17" x14ac:dyDescent="0.25">
      <c r="A204" t="s">
        <v>372</v>
      </c>
      <c r="B204" s="3">
        <v>46085</v>
      </c>
      <c r="C204" t="s">
        <v>65</v>
      </c>
      <c r="D204" t="s">
        <v>59</v>
      </c>
      <c r="E204" t="s">
        <v>34</v>
      </c>
      <c r="F204" t="s">
        <v>60</v>
      </c>
      <c r="G204">
        <v>5</v>
      </c>
      <c r="H204">
        <v>1250</v>
      </c>
      <c r="I204">
        <v>10</v>
      </c>
      <c r="J204">
        <v>5625</v>
      </c>
      <c r="K204">
        <v>3460.89</v>
      </c>
      <c r="L204">
        <v>2164.11</v>
      </c>
      <c r="M204" t="s">
        <v>24</v>
      </c>
      <c r="N204">
        <f t="shared" si="12"/>
        <v>8428767.5</v>
      </c>
      <c r="O204">
        <f t="shared" si="13"/>
        <v>2551519.6299999985</v>
      </c>
      <c r="P204">
        <f t="shared" si="14"/>
        <v>298</v>
      </c>
      <c r="Q204">
        <f t="shared" si="15"/>
        <v>133</v>
      </c>
    </row>
    <row r="205" spans="1:17" x14ac:dyDescent="0.25">
      <c r="A205" t="s">
        <v>373</v>
      </c>
      <c r="B205" s="3">
        <v>46237</v>
      </c>
      <c r="C205" t="s">
        <v>54</v>
      </c>
      <c r="D205" t="s">
        <v>68</v>
      </c>
      <c r="E205" t="s">
        <v>55</v>
      </c>
      <c r="F205" t="s">
        <v>132</v>
      </c>
      <c r="G205">
        <v>1</v>
      </c>
      <c r="H205">
        <v>5250</v>
      </c>
      <c r="I205">
        <v>15</v>
      </c>
      <c r="J205">
        <v>4462.5</v>
      </c>
      <c r="K205">
        <v>3495.58</v>
      </c>
      <c r="L205">
        <v>966.92</v>
      </c>
      <c r="M205" t="s">
        <v>30</v>
      </c>
      <c r="N205">
        <f t="shared" si="12"/>
        <v>8423142.5</v>
      </c>
      <c r="O205">
        <f t="shared" si="13"/>
        <v>2549355.5199999986</v>
      </c>
      <c r="P205">
        <f t="shared" si="14"/>
        <v>297</v>
      </c>
      <c r="Q205">
        <f t="shared" si="15"/>
        <v>133</v>
      </c>
    </row>
    <row r="206" spans="1:17" x14ac:dyDescent="0.25">
      <c r="A206" t="s">
        <v>374</v>
      </c>
      <c r="B206" s="3">
        <v>46286</v>
      </c>
      <c r="C206" t="s">
        <v>176</v>
      </c>
      <c r="D206" t="s">
        <v>59</v>
      </c>
      <c r="E206" t="s">
        <v>28</v>
      </c>
      <c r="F206" t="s">
        <v>41</v>
      </c>
      <c r="G206">
        <v>2</v>
      </c>
      <c r="H206">
        <v>1700</v>
      </c>
      <c r="I206">
        <v>5</v>
      </c>
      <c r="J206">
        <v>3230</v>
      </c>
      <c r="K206">
        <v>2211.04</v>
      </c>
      <c r="L206">
        <v>1018.96</v>
      </c>
      <c r="M206" t="s">
        <v>30</v>
      </c>
      <c r="N206">
        <f t="shared" si="12"/>
        <v>8418680</v>
      </c>
      <c r="O206">
        <f t="shared" si="13"/>
        <v>2548388.5999999987</v>
      </c>
      <c r="P206">
        <f t="shared" si="14"/>
        <v>296</v>
      </c>
      <c r="Q206">
        <f t="shared" si="15"/>
        <v>133</v>
      </c>
    </row>
    <row r="207" spans="1:17" x14ac:dyDescent="0.25">
      <c r="A207" t="s">
        <v>375</v>
      </c>
      <c r="B207" s="3">
        <v>46146</v>
      </c>
      <c r="C207" t="s">
        <v>376</v>
      </c>
      <c r="D207" t="s">
        <v>52</v>
      </c>
      <c r="E207" t="s">
        <v>22</v>
      </c>
      <c r="F207" t="s">
        <v>23</v>
      </c>
      <c r="G207">
        <v>1</v>
      </c>
      <c r="H207">
        <v>1800</v>
      </c>
      <c r="I207">
        <v>20</v>
      </c>
      <c r="J207">
        <v>1440</v>
      </c>
      <c r="K207">
        <v>969.77</v>
      </c>
      <c r="L207">
        <v>470.23</v>
      </c>
      <c r="M207" t="s">
        <v>30</v>
      </c>
      <c r="N207">
        <f t="shared" si="12"/>
        <v>8415450</v>
      </c>
      <c r="O207">
        <f t="shared" si="13"/>
        <v>2547369.6399999987</v>
      </c>
      <c r="P207">
        <f t="shared" si="14"/>
        <v>295</v>
      </c>
      <c r="Q207">
        <f t="shared" si="15"/>
        <v>133</v>
      </c>
    </row>
    <row r="208" spans="1:17" x14ac:dyDescent="0.25">
      <c r="A208" t="s">
        <v>377</v>
      </c>
      <c r="B208" s="3">
        <v>46357</v>
      </c>
      <c r="C208" t="s">
        <v>332</v>
      </c>
      <c r="D208" t="s">
        <v>44</v>
      </c>
      <c r="E208" t="s">
        <v>16</v>
      </c>
      <c r="F208" t="s">
        <v>17</v>
      </c>
      <c r="G208">
        <v>3</v>
      </c>
      <c r="H208">
        <v>66050</v>
      </c>
      <c r="I208">
        <v>20</v>
      </c>
      <c r="J208">
        <v>158520</v>
      </c>
      <c r="K208">
        <v>124950.48</v>
      </c>
      <c r="L208">
        <v>33569.519999999997</v>
      </c>
      <c r="M208" t="s">
        <v>18</v>
      </c>
      <c r="N208">
        <f t="shared" si="12"/>
        <v>8414010</v>
      </c>
      <c r="O208">
        <f t="shared" si="13"/>
        <v>2546899.4099999988</v>
      </c>
      <c r="P208">
        <f t="shared" si="14"/>
        <v>294</v>
      </c>
      <c r="Q208">
        <f t="shared" si="15"/>
        <v>133</v>
      </c>
    </row>
    <row r="209" spans="1:17" x14ac:dyDescent="0.25">
      <c r="A209" t="s">
        <v>378</v>
      </c>
      <c r="B209" s="3">
        <v>46229</v>
      </c>
      <c r="C209" t="s">
        <v>126</v>
      </c>
      <c r="D209" t="s">
        <v>75</v>
      </c>
      <c r="E209" t="s">
        <v>16</v>
      </c>
      <c r="F209" t="s">
        <v>17</v>
      </c>
      <c r="G209">
        <v>4</v>
      </c>
      <c r="H209">
        <v>18750</v>
      </c>
      <c r="I209">
        <v>10</v>
      </c>
      <c r="J209">
        <v>67500</v>
      </c>
      <c r="K209">
        <v>50383.83</v>
      </c>
      <c r="L209">
        <v>17116.169999999998</v>
      </c>
      <c r="M209" t="s">
        <v>63</v>
      </c>
      <c r="N209">
        <f t="shared" si="12"/>
        <v>8255490</v>
      </c>
      <c r="O209">
        <f t="shared" si="13"/>
        <v>2513329.8899999987</v>
      </c>
      <c r="P209">
        <f t="shared" si="14"/>
        <v>293</v>
      </c>
      <c r="Q209">
        <f t="shared" si="15"/>
        <v>133</v>
      </c>
    </row>
    <row r="210" spans="1:17" x14ac:dyDescent="0.25">
      <c r="A210" t="s">
        <v>379</v>
      </c>
      <c r="B210" s="3">
        <v>46060</v>
      </c>
      <c r="C210" t="s">
        <v>380</v>
      </c>
      <c r="D210" t="s">
        <v>21</v>
      </c>
      <c r="E210" t="s">
        <v>16</v>
      </c>
      <c r="F210" t="s">
        <v>240</v>
      </c>
      <c r="G210">
        <v>5</v>
      </c>
      <c r="H210">
        <v>26700</v>
      </c>
      <c r="I210">
        <v>10</v>
      </c>
      <c r="J210">
        <v>120150</v>
      </c>
      <c r="K210">
        <v>84029.33</v>
      </c>
      <c r="L210">
        <v>36120.67</v>
      </c>
      <c r="M210" t="s">
        <v>63</v>
      </c>
      <c r="N210">
        <f t="shared" si="12"/>
        <v>8187990</v>
      </c>
      <c r="O210">
        <f t="shared" si="13"/>
        <v>2496213.7199999988</v>
      </c>
      <c r="P210">
        <f t="shared" si="14"/>
        <v>292</v>
      </c>
      <c r="Q210">
        <f t="shared" si="15"/>
        <v>133</v>
      </c>
    </row>
    <row r="211" spans="1:17" x14ac:dyDescent="0.25">
      <c r="A211" t="s">
        <v>381</v>
      </c>
      <c r="B211" s="3">
        <v>46072</v>
      </c>
      <c r="C211" t="s">
        <v>382</v>
      </c>
      <c r="D211" t="s">
        <v>33</v>
      </c>
      <c r="E211" t="s">
        <v>28</v>
      </c>
      <c r="F211" t="s">
        <v>41</v>
      </c>
      <c r="G211">
        <v>5</v>
      </c>
      <c r="H211">
        <v>1550</v>
      </c>
      <c r="I211">
        <v>20</v>
      </c>
      <c r="J211">
        <v>6200</v>
      </c>
      <c r="K211">
        <v>3608.89</v>
      </c>
      <c r="L211">
        <v>2591.11</v>
      </c>
      <c r="M211" t="s">
        <v>30</v>
      </c>
      <c r="N211">
        <f t="shared" si="12"/>
        <v>8067840</v>
      </c>
      <c r="O211">
        <f t="shared" si="13"/>
        <v>2460093.0499999989</v>
      </c>
      <c r="P211">
        <f t="shared" si="14"/>
        <v>291</v>
      </c>
      <c r="Q211">
        <f t="shared" si="15"/>
        <v>133</v>
      </c>
    </row>
    <row r="212" spans="1:17" x14ac:dyDescent="0.25">
      <c r="A212" t="s">
        <v>383</v>
      </c>
      <c r="B212" s="3">
        <v>46279</v>
      </c>
      <c r="C212" t="s">
        <v>106</v>
      </c>
      <c r="D212" t="s">
        <v>75</v>
      </c>
      <c r="E212" t="s">
        <v>28</v>
      </c>
      <c r="F212" t="s">
        <v>41</v>
      </c>
      <c r="G212">
        <v>2</v>
      </c>
      <c r="H212">
        <v>550</v>
      </c>
      <c r="I212">
        <v>20</v>
      </c>
      <c r="J212">
        <v>880</v>
      </c>
      <c r="K212">
        <v>604.97</v>
      </c>
      <c r="L212">
        <v>275.02999999999997</v>
      </c>
      <c r="M212" t="s">
        <v>46</v>
      </c>
      <c r="N212">
        <f t="shared" si="12"/>
        <v>8061640</v>
      </c>
      <c r="O212">
        <f t="shared" si="13"/>
        <v>2457501.9399999985</v>
      </c>
      <c r="P212">
        <f t="shared" si="14"/>
        <v>290</v>
      </c>
      <c r="Q212">
        <f t="shared" si="15"/>
        <v>133</v>
      </c>
    </row>
    <row r="213" spans="1:17" x14ac:dyDescent="0.25">
      <c r="A213" t="s">
        <v>384</v>
      </c>
      <c r="B213" s="3">
        <v>46286</v>
      </c>
      <c r="C213" t="s">
        <v>385</v>
      </c>
      <c r="D213" t="s">
        <v>33</v>
      </c>
      <c r="E213" t="s">
        <v>55</v>
      </c>
      <c r="F213" t="s">
        <v>141</v>
      </c>
      <c r="G213">
        <v>4</v>
      </c>
      <c r="H213">
        <v>9000</v>
      </c>
      <c r="I213">
        <v>15</v>
      </c>
      <c r="J213">
        <v>30600</v>
      </c>
      <c r="K213">
        <v>18060.55</v>
      </c>
      <c r="L213">
        <v>12539.45</v>
      </c>
      <c r="M213" t="s">
        <v>18</v>
      </c>
      <c r="N213">
        <f t="shared" si="12"/>
        <v>8060760</v>
      </c>
      <c r="O213">
        <f t="shared" si="13"/>
        <v>2457226.9099999988</v>
      </c>
      <c r="P213">
        <f t="shared" si="14"/>
        <v>289</v>
      </c>
      <c r="Q213">
        <f t="shared" si="15"/>
        <v>132</v>
      </c>
    </row>
    <row r="214" spans="1:17" x14ac:dyDescent="0.25">
      <c r="A214" t="s">
        <v>386</v>
      </c>
      <c r="B214" s="3">
        <v>46282</v>
      </c>
      <c r="C214" t="s">
        <v>58</v>
      </c>
      <c r="D214" t="s">
        <v>21</v>
      </c>
      <c r="E214" t="s">
        <v>34</v>
      </c>
      <c r="F214" t="s">
        <v>35</v>
      </c>
      <c r="G214">
        <v>4</v>
      </c>
      <c r="H214">
        <v>5450</v>
      </c>
      <c r="I214">
        <v>10</v>
      </c>
      <c r="J214">
        <v>19620</v>
      </c>
      <c r="K214">
        <v>13936.2</v>
      </c>
      <c r="L214">
        <v>5683.8</v>
      </c>
      <c r="M214" t="s">
        <v>63</v>
      </c>
      <c r="N214">
        <f t="shared" si="12"/>
        <v>8030160</v>
      </c>
      <c r="O214">
        <f t="shared" si="13"/>
        <v>2444687.4599999986</v>
      </c>
      <c r="P214">
        <f t="shared" si="14"/>
        <v>288</v>
      </c>
      <c r="Q214">
        <f t="shared" si="15"/>
        <v>132</v>
      </c>
    </row>
    <row r="215" spans="1:17" x14ac:dyDescent="0.25">
      <c r="A215" t="s">
        <v>387</v>
      </c>
      <c r="B215" s="3">
        <v>46079</v>
      </c>
      <c r="C215" t="s">
        <v>160</v>
      </c>
      <c r="D215" t="s">
        <v>52</v>
      </c>
      <c r="E215" t="s">
        <v>28</v>
      </c>
      <c r="F215" t="s">
        <v>41</v>
      </c>
      <c r="G215">
        <v>4</v>
      </c>
      <c r="H215">
        <v>200</v>
      </c>
      <c r="I215">
        <v>10</v>
      </c>
      <c r="J215">
        <v>720</v>
      </c>
      <c r="K215">
        <v>460.39</v>
      </c>
      <c r="L215">
        <v>259.61</v>
      </c>
      <c r="M215" t="s">
        <v>30</v>
      </c>
      <c r="N215">
        <f t="shared" si="12"/>
        <v>8010540</v>
      </c>
      <c r="O215">
        <f t="shared" si="13"/>
        <v>2439003.6599999988</v>
      </c>
      <c r="P215">
        <f t="shared" si="14"/>
        <v>287</v>
      </c>
      <c r="Q215">
        <f t="shared" si="15"/>
        <v>132</v>
      </c>
    </row>
    <row r="216" spans="1:17" x14ac:dyDescent="0.25">
      <c r="A216" t="s">
        <v>388</v>
      </c>
      <c r="B216" s="3">
        <v>46049</v>
      </c>
      <c r="C216" t="s">
        <v>162</v>
      </c>
      <c r="D216" t="s">
        <v>59</v>
      </c>
      <c r="E216" t="s">
        <v>16</v>
      </c>
      <c r="F216" t="s">
        <v>240</v>
      </c>
      <c r="G216">
        <v>4</v>
      </c>
      <c r="H216">
        <v>36000</v>
      </c>
      <c r="I216">
        <v>20</v>
      </c>
      <c r="J216">
        <v>115200</v>
      </c>
      <c r="K216">
        <v>81326.740000000005</v>
      </c>
      <c r="L216">
        <v>33873.26</v>
      </c>
      <c r="M216" t="s">
        <v>24</v>
      </c>
      <c r="N216">
        <f t="shared" si="12"/>
        <v>8009820</v>
      </c>
      <c r="O216">
        <f t="shared" si="13"/>
        <v>2438744.0499999989</v>
      </c>
      <c r="P216">
        <f t="shared" si="14"/>
        <v>286</v>
      </c>
      <c r="Q216">
        <f t="shared" si="15"/>
        <v>132</v>
      </c>
    </row>
    <row r="217" spans="1:17" x14ac:dyDescent="0.25">
      <c r="A217" t="s">
        <v>389</v>
      </c>
      <c r="B217" s="3">
        <v>46381</v>
      </c>
      <c r="C217" t="s">
        <v>390</v>
      </c>
      <c r="D217" t="s">
        <v>80</v>
      </c>
      <c r="E217" t="s">
        <v>28</v>
      </c>
      <c r="F217" t="s">
        <v>86</v>
      </c>
      <c r="G217">
        <v>4</v>
      </c>
      <c r="H217">
        <v>450</v>
      </c>
      <c r="I217">
        <v>5</v>
      </c>
      <c r="J217">
        <v>1710</v>
      </c>
      <c r="K217">
        <v>955.08</v>
      </c>
      <c r="L217">
        <v>754.92</v>
      </c>
      <c r="M217" t="s">
        <v>46</v>
      </c>
      <c r="N217">
        <f t="shared" si="12"/>
        <v>7894620</v>
      </c>
      <c r="O217">
        <f t="shared" si="13"/>
        <v>2404870.7899999986</v>
      </c>
      <c r="P217">
        <f t="shared" si="14"/>
        <v>285</v>
      </c>
      <c r="Q217">
        <f t="shared" si="15"/>
        <v>132</v>
      </c>
    </row>
    <row r="218" spans="1:17" x14ac:dyDescent="0.25">
      <c r="A218" t="s">
        <v>391</v>
      </c>
      <c r="B218" s="3">
        <v>46233</v>
      </c>
      <c r="C218" t="s">
        <v>67</v>
      </c>
      <c r="D218" t="s">
        <v>52</v>
      </c>
      <c r="E218" t="s">
        <v>22</v>
      </c>
      <c r="F218" t="s">
        <v>83</v>
      </c>
      <c r="G218">
        <v>4</v>
      </c>
      <c r="H218">
        <v>800</v>
      </c>
      <c r="I218">
        <v>15</v>
      </c>
      <c r="J218">
        <v>2720</v>
      </c>
      <c r="K218">
        <v>2003.1</v>
      </c>
      <c r="L218">
        <v>716.9</v>
      </c>
      <c r="M218" t="s">
        <v>63</v>
      </c>
      <c r="N218">
        <f t="shared" si="12"/>
        <v>7892910</v>
      </c>
      <c r="O218">
        <f t="shared" si="13"/>
        <v>2404115.8699999987</v>
      </c>
      <c r="P218">
        <f t="shared" si="14"/>
        <v>284</v>
      </c>
      <c r="Q218">
        <f t="shared" si="15"/>
        <v>132</v>
      </c>
    </row>
    <row r="219" spans="1:17" x14ac:dyDescent="0.25">
      <c r="A219" t="s">
        <v>392</v>
      </c>
      <c r="B219" s="3">
        <v>46362</v>
      </c>
      <c r="C219" t="s">
        <v>393</v>
      </c>
      <c r="D219" t="s">
        <v>21</v>
      </c>
      <c r="E219" t="s">
        <v>16</v>
      </c>
      <c r="F219" t="s">
        <v>107</v>
      </c>
      <c r="G219">
        <v>5</v>
      </c>
      <c r="H219">
        <v>28400</v>
      </c>
      <c r="I219">
        <v>20</v>
      </c>
      <c r="J219">
        <v>113600</v>
      </c>
      <c r="K219">
        <v>72449.919999999998</v>
      </c>
      <c r="L219">
        <v>41150.080000000002</v>
      </c>
      <c r="M219" t="s">
        <v>63</v>
      </c>
      <c r="N219">
        <f t="shared" si="12"/>
        <v>7890190</v>
      </c>
      <c r="O219">
        <f t="shared" si="13"/>
        <v>2403398.9699999988</v>
      </c>
      <c r="P219">
        <f t="shared" si="14"/>
        <v>283</v>
      </c>
      <c r="Q219">
        <f t="shared" si="15"/>
        <v>132</v>
      </c>
    </row>
    <row r="220" spans="1:17" x14ac:dyDescent="0.25">
      <c r="A220" t="s">
        <v>394</v>
      </c>
      <c r="B220" s="3">
        <v>46369</v>
      </c>
      <c r="C220" t="s">
        <v>260</v>
      </c>
      <c r="D220" t="s">
        <v>52</v>
      </c>
      <c r="E220" t="s">
        <v>34</v>
      </c>
      <c r="F220" t="s">
        <v>35</v>
      </c>
      <c r="G220">
        <v>4</v>
      </c>
      <c r="H220">
        <v>4750</v>
      </c>
      <c r="I220">
        <v>10</v>
      </c>
      <c r="J220">
        <v>17100</v>
      </c>
      <c r="K220">
        <v>11927.14</v>
      </c>
      <c r="L220">
        <v>5172.8599999999997</v>
      </c>
      <c r="M220" t="s">
        <v>63</v>
      </c>
      <c r="N220">
        <f t="shared" si="12"/>
        <v>7776590</v>
      </c>
      <c r="O220">
        <f t="shared" si="13"/>
        <v>2362248.8899999992</v>
      </c>
      <c r="P220">
        <f t="shared" si="14"/>
        <v>282</v>
      </c>
      <c r="Q220">
        <f t="shared" si="15"/>
        <v>132</v>
      </c>
    </row>
    <row r="221" spans="1:17" x14ac:dyDescent="0.25">
      <c r="A221" t="s">
        <v>395</v>
      </c>
      <c r="B221" s="3">
        <v>46175</v>
      </c>
      <c r="C221" t="s">
        <v>145</v>
      </c>
      <c r="D221" t="s">
        <v>80</v>
      </c>
      <c r="E221" t="s">
        <v>55</v>
      </c>
      <c r="F221" t="s">
        <v>97</v>
      </c>
      <c r="G221">
        <v>3</v>
      </c>
      <c r="H221">
        <v>9650</v>
      </c>
      <c r="I221">
        <v>10</v>
      </c>
      <c r="J221">
        <v>26055</v>
      </c>
      <c r="K221">
        <v>15912.16</v>
      </c>
      <c r="L221">
        <v>10142.84</v>
      </c>
      <c r="M221" t="s">
        <v>63</v>
      </c>
      <c r="N221">
        <f t="shared" si="12"/>
        <v>7759490</v>
      </c>
      <c r="O221">
        <f t="shared" si="13"/>
        <v>2357076.0299999993</v>
      </c>
      <c r="P221">
        <f t="shared" si="14"/>
        <v>281</v>
      </c>
      <c r="Q221">
        <f t="shared" si="15"/>
        <v>132</v>
      </c>
    </row>
    <row r="222" spans="1:17" x14ac:dyDescent="0.25">
      <c r="A222" t="s">
        <v>396</v>
      </c>
      <c r="B222" s="3">
        <v>46316</v>
      </c>
      <c r="C222" t="s">
        <v>14</v>
      </c>
      <c r="D222" t="s">
        <v>27</v>
      </c>
      <c r="E222" t="s">
        <v>34</v>
      </c>
      <c r="F222" t="s">
        <v>69</v>
      </c>
      <c r="G222">
        <v>3</v>
      </c>
      <c r="H222">
        <v>5000</v>
      </c>
      <c r="I222">
        <v>10</v>
      </c>
      <c r="J222">
        <v>13500</v>
      </c>
      <c r="K222">
        <v>8473.99</v>
      </c>
      <c r="L222">
        <v>5026.01</v>
      </c>
      <c r="M222" t="s">
        <v>63</v>
      </c>
      <c r="N222">
        <f t="shared" si="12"/>
        <v>7733435</v>
      </c>
      <c r="O222">
        <f t="shared" si="13"/>
        <v>2346933.1899999995</v>
      </c>
      <c r="P222">
        <f t="shared" si="14"/>
        <v>280</v>
      </c>
      <c r="Q222">
        <f t="shared" si="15"/>
        <v>131</v>
      </c>
    </row>
    <row r="223" spans="1:17" x14ac:dyDescent="0.25">
      <c r="A223" t="s">
        <v>397</v>
      </c>
      <c r="B223" s="3">
        <v>46063</v>
      </c>
      <c r="C223" t="s">
        <v>371</v>
      </c>
      <c r="D223" t="s">
        <v>59</v>
      </c>
      <c r="E223" t="s">
        <v>34</v>
      </c>
      <c r="F223" t="s">
        <v>35</v>
      </c>
      <c r="G223">
        <v>3</v>
      </c>
      <c r="H223">
        <v>750</v>
      </c>
      <c r="I223">
        <v>10</v>
      </c>
      <c r="J223">
        <v>2025</v>
      </c>
      <c r="K223">
        <v>1636.07</v>
      </c>
      <c r="L223">
        <v>388.93</v>
      </c>
      <c r="M223" t="s">
        <v>30</v>
      </c>
      <c r="N223">
        <f t="shared" si="12"/>
        <v>7719935</v>
      </c>
      <c r="O223">
        <f t="shared" si="13"/>
        <v>2341907.1799999992</v>
      </c>
      <c r="P223">
        <f t="shared" si="14"/>
        <v>279</v>
      </c>
      <c r="Q223">
        <f t="shared" si="15"/>
        <v>131</v>
      </c>
    </row>
    <row r="224" spans="1:17" x14ac:dyDescent="0.25">
      <c r="A224" t="s">
        <v>398</v>
      </c>
      <c r="B224" s="3">
        <v>46379</v>
      </c>
      <c r="C224" t="s">
        <v>48</v>
      </c>
      <c r="D224" t="s">
        <v>68</v>
      </c>
      <c r="E224" t="s">
        <v>22</v>
      </c>
      <c r="F224" t="s">
        <v>95</v>
      </c>
      <c r="G224">
        <v>2</v>
      </c>
      <c r="H224">
        <v>2400</v>
      </c>
      <c r="I224">
        <v>10</v>
      </c>
      <c r="J224">
        <v>4320</v>
      </c>
      <c r="K224">
        <v>3464.28</v>
      </c>
      <c r="L224">
        <v>855.72</v>
      </c>
      <c r="M224" t="s">
        <v>46</v>
      </c>
      <c r="N224">
        <f t="shared" si="12"/>
        <v>7717910</v>
      </c>
      <c r="O224">
        <f t="shared" si="13"/>
        <v>2341518.2499999995</v>
      </c>
      <c r="P224">
        <f t="shared" si="14"/>
        <v>278</v>
      </c>
      <c r="Q224">
        <f t="shared" si="15"/>
        <v>131</v>
      </c>
    </row>
    <row r="225" spans="1:17" x14ac:dyDescent="0.25">
      <c r="A225" t="s">
        <v>399</v>
      </c>
      <c r="B225" s="3">
        <v>46294</v>
      </c>
      <c r="C225" t="s">
        <v>207</v>
      </c>
      <c r="D225" t="s">
        <v>80</v>
      </c>
      <c r="E225" t="s">
        <v>28</v>
      </c>
      <c r="F225" t="s">
        <v>86</v>
      </c>
      <c r="G225">
        <v>2</v>
      </c>
      <c r="H225">
        <v>650</v>
      </c>
      <c r="I225">
        <v>0</v>
      </c>
      <c r="J225">
        <v>1300</v>
      </c>
      <c r="K225">
        <v>950.11</v>
      </c>
      <c r="L225">
        <v>349.89</v>
      </c>
      <c r="M225" t="s">
        <v>46</v>
      </c>
      <c r="N225">
        <f t="shared" si="12"/>
        <v>7713590</v>
      </c>
      <c r="O225">
        <f t="shared" si="13"/>
        <v>2340662.5299999993</v>
      </c>
      <c r="P225">
        <f t="shared" si="14"/>
        <v>277</v>
      </c>
      <c r="Q225">
        <f t="shared" si="15"/>
        <v>131</v>
      </c>
    </row>
    <row r="226" spans="1:17" x14ac:dyDescent="0.25">
      <c r="A226" t="s">
        <v>400</v>
      </c>
      <c r="B226" s="3">
        <v>46093</v>
      </c>
      <c r="C226" t="s">
        <v>152</v>
      </c>
      <c r="D226" t="s">
        <v>21</v>
      </c>
      <c r="E226" t="s">
        <v>16</v>
      </c>
      <c r="F226" t="s">
        <v>45</v>
      </c>
      <c r="G226">
        <v>3</v>
      </c>
      <c r="H226">
        <v>63100</v>
      </c>
      <c r="I226">
        <v>0</v>
      </c>
      <c r="J226">
        <v>189300</v>
      </c>
      <c r="K226">
        <v>138931.4</v>
      </c>
      <c r="L226">
        <v>50368.6</v>
      </c>
      <c r="M226" t="s">
        <v>24</v>
      </c>
      <c r="N226">
        <f t="shared" si="12"/>
        <v>7712290</v>
      </c>
      <c r="O226">
        <f t="shared" si="13"/>
        <v>2340312.6399999992</v>
      </c>
      <c r="P226">
        <f t="shared" si="14"/>
        <v>276</v>
      </c>
      <c r="Q226">
        <f t="shared" si="15"/>
        <v>130</v>
      </c>
    </row>
    <row r="227" spans="1:17" x14ac:dyDescent="0.25">
      <c r="A227" t="s">
        <v>401</v>
      </c>
      <c r="B227" s="3">
        <v>46170</v>
      </c>
      <c r="C227" t="s">
        <v>274</v>
      </c>
      <c r="D227" t="s">
        <v>44</v>
      </c>
      <c r="E227" t="s">
        <v>22</v>
      </c>
      <c r="F227" t="s">
        <v>165</v>
      </c>
      <c r="G227">
        <v>4</v>
      </c>
      <c r="H227">
        <v>2850</v>
      </c>
      <c r="I227">
        <v>5</v>
      </c>
      <c r="J227">
        <v>10830</v>
      </c>
      <c r="K227">
        <v>8166.86</v>
      </c>
      <c r="L227">
        <v>2663.14</v>
      </c>
      <c r="M227" t="s">
        <v>46</v>
      </c>
      <c r="N227">
        <f t="shared" si="12"/>
        <v>7522990</v>
      </c>
      <c r="O227">
        <f t="shared" si="13"/>
        <v>2289944.0399999991</v>
      </c>
      <c r="P227">
        <f t="shared" si="14"/>
        <v>275</v>
      </c>
      <c r="Q227">
        <f t="shared" si="15"/>
        <v>129</v>
      </c>
    </row>
    <row r="228" spans="1:17" x14ac:dyDescent="0.25">
      <c r="A228" t="s">
        <v>402</v>
      </c>
      <c r="B228" s="3">
        <v>46112</v>
      </c>
      <c r="C228" t="s">
        <v>160</v>
      </c>
      <c r="D228" t="s">
        <v>68</v>
      </c>
      <c r="E228" t="s">
        <v>16</v>
      </c>
      <c r="F228" t="s">
        <v>240</v>
      </c>
      <c r="G228">
        <v>2</v>
      </c>
      <c r="H228">
        <v>71350</v>
      </c>
      <c r="I228">
        <v>0</v>
      </c>
      <c r="J228">
        <v>142700</v>
      </c>
      <c r="K228">
        <v>113670.83</v>
      </c>
      <c r="L228">
        <v>29029.17</v>
      </c>
      <c r="M228" t="s">
        <v>46</v>
      </c>
      <c r="N228">
        <f t="shared" si="12"/>
        <v>7512160</v>
      </c>
      <c r="O228">
        <f t="shared" si="13"/>
        <v>2287280.899999999</v>
      </c>
      <c r="P228">
        <f t="shared" si="14"/>
        <v>274</v>
      </c>
      <c r="Q228">
        <f t="shared" si="15"/>
        <v>129</v>
      </c>
    </row>
    <row r="229" spans="1:17" x14ac:dyDescent="0.25">
      <c r="A229" t="s">
        <v>403</v>
      </c>
      <c r="B229" s="3">
        <v>46027</v>
      </c>
      <c r="C229" t="s">
        <v>404</v>
      </c>
      <c r="D229" t="s">
        <v>52</v>
      </c>
      <c r="E229" t="s">
        <v>22</v>
      </c>
      <c r="F229" t="s">
        <v>165</v>
      </c>
      <c r="G229">
        <v>2</v>
      </c>
      <c r="H229">
        <v>3250</v>
      </c>
      <c r="I229">
        <v>10</v>
      </c>
      <c r="J229">
        <v>5850</v>
      </c>
      <c r="K229">
        <v>4602.32</v>
      </c>
      <c r="L229">
        <v>1247.68</v>
      </c>
      <c r="M229" t="s">
        <v>18</v>
      </c>
      <c r="N229">
        <f t="shared" si="12"/>
        <v>7369460</v>
      </c>
      <c r="O229">
        <f t="shared" si="13"/>
        <v>2258251.7299999991</v>
      </c>
      <c r="P229">
        <f t="shared" si="14"/>
        <v>273</v>
      </c>
      <c r="Q229">
        <f t="shared" si="15"/>
        <v>129</v>
      </c>
    </row>
    <row r="230" spans="1:17" x14ac:dyDescent="0.25">
      <c r="A230" t="s">
        <v>405</v>
      </c>
      <c r="B230" s="3">
        <v>46091</v>
      </c>
      <c r="C230" t="s">
        <v>406</v>
      </c>
      <c r="D230" t="s">
        <v>59</v>
      </c>
      <c r="E230" t="s">
        <v>16</v>
      </c>
      <c r="F230" t="s">
        <v>72</v>
      </c>
      <c r="G230">
        <v>3</v>
      </c>
      <c r="H230">
        <v>60750</v>
      </c>
      <c r="I230">
        <v>20</v>
      </c>
      <c r="J230">
        <v>145800</v>
      </c>
      <c r="K230">
        <v>100830.32</v>
      </c>
      <c r="L230">
        <v>44969.68</v>
      </c>
      <c r="M230" t="s">
        <v>30</v>
      </c>
      <c r="N230">
        <f t="shared" si="12"/>
        <v>7363610</v>
      </c>
      <c r="O230">
        <f t="shared" si="13"/>
        <v>2257004.0499999993</v>
      </c>
      <c r="P230">
        <f t="shared" si="14"/>
        <v>272</v>
      </c>
      <c r="Q230">
        <f t="shared" si="15"/>
        <v>129</v>
      </c>
    </row>
    <row r="231" spans="1:17" x14ac:dyDescent="0.25">
      <c r="A231" t="s">
        <v>407</v>
      </c>
      <c r="B231" s="3">
        <v>46118</v>
      </c>
      <c r="C231" t="s">
        <v>408</v>
      </c>
      <c r="D231" t="s">
        <v>33</v>
      </c>
      <c r="E231" t="s">
        <v>55</v>
      </c>
      <c r="F231" t="s">
        <v>132</v>
      </c>
      <c r="G231">
        <v>3</v>
      </c>
      <c r="H231">
        <v>3150</v>
      </c>
      <c r="I231">
        <v>15</v>
      </c>
      <c r="J231">
        <v>8032.5</v>
      </c>
      <c r="K231">
        <v>5823.86</v>
      </c>
      <c r="L231">
        <v>2208.64</v>
      </c>
      <c r="M231" t="s">
        <v>30</v>
      </c>
      <c r="N231">
        <f t="shared" si="12"/>
        <v>7217810</v>
      </c>
      <c r="O231">
        <f t="shared" si="13"/>
        <v>2212034.3700000006</v>
      </c>
      <c r="P231">
        <f t="shared" si="14"/>
        <v>271</v>
      </c>
      <c r="Q231">
        <f t="shared" si="15"/>
        <v>129</v>
      </c>
    </row>
    <row r="232" spans="1:17" x14ac:dyDescent="0.25">
      <c r="A232" t="s">
        <v>409</v>
      </c>
      <c r="B232" s="3">
        <v>46286</v>
      </c>
      <c r="C232" t="s">
        <v>262</v>
      </c>
      <c r="D232" t="s">
        <v>15</v>
      </c>
      <c r="E232" t="s">
        <v>28</v>
      </c>
      <c r="F232" t="s">
        <v>49</v>
      </c>
      <c r="G232">
        <v>2</v>
      </c>
      <c r="H232">
        <v>1400</v>
      </c>
      <c r="I232">
        <v>15</v>
      </c>
      <c r="J232">
        <v>2380</v>
      </c>
      <c r="K232">
        <v>1840.42</v>
      </c>
      <c r="L232">
        <v>539.58000000000004</v>
      </c>
      <c r="M232" t="s">
        <v>63</v>
      </c>
      <c r="N232">
        <f t="shared" si="12"/>
        <v>7209777.5</v>
      </c>
      <c r="O232">
        <f t="shared" si="13"/>
        <v>2209825.7300000004</v>
      </c>
      <c r="P232">
        <f t="shared" si="14"/>
        <v>270</v>
      </c>
      <c r="Q232">
        <f t="shared" si="15"/>
        <v>128</v>
      </c>
    </row>
    <row r="233" spans="1:17" x14ac:dyDescent="0.25">
      <c r="A233" t="s">
        <v>410</v>
      </c>
      <c r="B233" s="3">
        <v>46026</v>
      </c>
      <c r="C233" t="s">
        <v>190</v>
      </c>
      <c r="D233" t="s">
        <v>27</v>
      </c>
      <c r="E233" t="s">
        <v>16</v>
      </c>
      <c r="F233" t="s">
        <v>107</v>
      </c>
      <c r="G233">
        <v>2</v>
      </c>
      <c r="H233">
        <v>63800</v>
      </c>
      <c r="I233">
        <v>10</v>
      </c>
      <c r="J233">
        <v>114840</v>
      </c>
      <c r="K233">
        <v>92178.95</v>
      </c>
      <c r="L233">
        <v>22661.05</v>
      </c>
      <c r="M233" t="s">
        <v>24</v>
      </c>
      <c r="N233">
        <f t="shared" si="12"/>
        <v>7207397.5</v>
      </c>
      <c r="O233">
        <f t="shared" si="13"/>
        <v>2209286.1500000008</v>
      </c>
      <c r="P233">
        <f t="shared" si="14"/>
        <v>269</v>
      </c>
      <c r="Q233">
        <f t="shared" si="15"/>
        <v>128</v>
      </c>
    </row>
    <row r="234" spans="1:17" x14ac:dyDescent="0.25">
      <c r="A234" t="s">
        <v>411</v>
      </c>
      <c r="B234" s="3">
        <v>46028</v>
      </c>
      <c r="C234" t="s">
        <v>190</v>
      </c>
      <c r="D234" t="s">
        <v>33</v>
      </c>
      <c r="E234" t="s">
        <v>22</v>
      </c>
      <c r="F234" t="s">
        <v>83</v>
      </c>
      <c r="G234">
        <v>3</v>
      </c>
      <c r="H234">
        <v>1450</v>
      </c>
      <c r="I234">
        <v>20</v>
      </c>
      <c r="J234">
        <v>3480</v>
      </c>
      <c r="K234">
        <v>2593.2199999999998</v>
      </c>
      <c r="L234">
        <v>886.78</v>
      </c>
      <c r="M234" t="s">
        <v>24</v>
      </c>
      <c r="N234">
        <f t="shared" si="12"/>
        <v>7092557.5</v>
      </c>
      <c r="O234">
        <f t="shared" si="13"/>
        <v>2186625.100000001</v>
      </c>
      <c r="P234">
        <f t="shared" si="14"/>
        <v>268</v>
      </c>
      <c r="Q234">
        <f t="shared" si="15"/>
        <v>128</v>
      </c>
    </row>
    <row r="235" spans="1:17" x14ac:dyDescent="0.25">
      <c r="A235" t="s">
        <v>412</v>
      </c>
      <c r="B235" s="3">
        <v>46280</v>
      </c>
      <c r="C235" t="s">
        <v>148</v>
      </c>
      <c r="D235" t="s">
        <v>15</v>
      </c>
      <c r="E235" t="s">
        <v>16</v>
      </c>
      <c r="F235" t="s">
        <v>17</v>
      </c>
      <c r="G235">
        <v>4</v>
      </c>
      <c r="H235">
        <v>41400</v>
      </c>
      <c r="I235">
        <v>5</v>
      </c>
      <c r="J235">
        <v>157320</v>
      </c>
      <c r="K235">
        <v>103746.64</v>
      </c>
      <c r="L235">
        <v>53573.36</v>
      </c>
      <c r="M235" t="s">
        <v>30</v>
      </c>
      <c r="N235">
        <f t="shared" si="12"/>
        <v>7089077.5</v>
      </c>
      <c r="O235">
        <f t="shared" si="13"/>
        <v>2185738.3200000008</v>
      </c>
      <c r="P235">
        <f t="shared" si="14"/>
        <v>267</v>
      </c>
      <c r="Q235">
        <f t="shared" si="15"/>
        <v>128</v>
      </c>
    </row>
    <row r="236" spans="1:17" x14ac:dyDescent="0.25">
      <c r="A236" t="s">
        <v>413</v>
      </c>
      <c r="B236" s="3">
        <v>46255</v>
      </c>
      <c r="C236" t="s">
        <v>414</v>
      </c>
      <c r="D236" t="s">
        <v>27</v>
      </c>
      <c r="E236" t="s">
        <v>34</v>
      </c>
      <c r="F236" t="s">
        <v>60</v>
      </c>
      <c r="G236">
        <v>2</v>
      </c>
      <c r="H236">
        <v>2200</v>
      </c>
      <c r="I236">
        <v>5</v>
      </c>
      <c r="J236">
        <v>4180</v>
      </c>
      <c r="K236">
        <v>2838.68</v>
      </c>
      <c r="L236">
        <v>1341.32</v>
      </c>
      <c r="M236" t="s">
        <v>18</v>
      </c>
      <c r="N236">
        <f t="shared" si="12"/>
        <v>6931757.5</v>
      </c>
      <c r="O236">
        <f t="shared" si="13"/>
        <v>2132164.9600000009</v>
      </c>
      <c r="P236">
        <f t="shared" si="14"/>
        <v>266</v>
      </c>
      <c r="Q236">
        <f t="shared" si="15"/>
        <v>127</v>
      </c>
    </row>
    <row r="237" spans="1:17" x14ac:dyDescent="0.25">
      <c r="A237" t="s">
        <v>415</v>
      </c>
      <c r="B237" s="3">
        <v>46328</v>
      </c>
      <c r="C237" t="s">
        <v>37</v>
      </c>
      <c r="D237" t="s">
        <v>21</v>
      </c>
      <c r="E237" t="s">
        <v>22</v>
      </c>
      <c r="F237" t="s">
        <v>104</v>
      </c>
      <c r="G237">
        <v>2</v>
      </c>
      <c r="H237">
        <v>3300</v>
      </c>
      <c r="I237">
        <v>5</v>
      </c>
      <c r="J237">
        <v>6270</v>
      </c>
      <c r="K237">
        <v>4600.25</v>
      </c>
      <c r="L237">
        <v>1669.75</v>
      </c>
      <c r="M237" t="s">
        <v>63</v>
      </c>
      <c r="N237">
        <f t="shared" si="12"/>
        <v>6927577.5</v>
      </c>
      <c r="O237">
        <f t="shared" si="13"/>
        <v>2130823.6400000006</v>
      </c>
      <c r="P237">
        <f t="shared" si="14"/>
        <v>265</v>
      </c>
      <c r="Q237">
        <f t="shared" si="15"/>
        <v>126</v>
      </c>
    </row>
    <row r="238" spans="1:17" x14ac:dyDescent="0.25">
      <c r="A238" t="s">
        <v>416</v>
      </c>
      <c r="B238" s="3">
        <v>46303</v>
      </c>
      <c r="C238" t="s">
        <v>406</v>
      </c>
      <c r="D238" t="s">
        <v>80</v>
      </c>
      <c r="E238" t="s">
        <v>28</v>
      </c>
      <c r="F238" t="s">
        <v>41</v>
      </c>
      <c r="G238">
        <v>1</v>
      </c>
      <c r="H238">
        <v>1300</v>
      </c>
      <c r="I238">
        <v>0</v>
      </c>
      <c r="J238">
        <v>1300</v>
      </c>
      <c r="K238">
        <v>736.68</v>
      </c>
      <c r="L238">
        <v>563.32000000000005</v>
      </c>
      <c r="M238" t="s">
        <v>18</v>
      </c>
      <c r="N238">
        <f t="shared" si="12"/>
        <v>6921307.5</v>
      </c>
      <c r="O238">
        <f t="shared" si="13"/>
        <v>2129153.8900000006</v>
      </c>
      <c r="P238">
        <f t="shared" si="14"/>
        <v>264</v>
      </c>
      <c r="Q238">
        <f t="shared" si="15"/>
        <v>126</v>
      </c>
    </row>
    <row r="239" spans="1:17" x14ac:dyDescent="0.25">
      <c r="A239" t="s">
        <v>417</v>
      </c>
      <c r="B239" s="3">
        <v>46371</v>
      </c>
      <c r="C239" t="s">
        <v>418</v>
      </c>
      <c r="D239" t="s">
        <v>52</v>
      </c>
      <c r="E239" t="s">
        <v>28</v>
      </c>
      <c r="F239" t="s">
        <v>49</v>
      </c>
      <c r="G239">
        <v>2</v>
      </c>
      <c r="H239">
        <v>800</v>
      </c>
      <c r="I239">
        <v>20</v>
      </c>
      <c r="J239">
        <v>1280</v>
      </c>
      <c r="K239">
        <v>856.7</v>
      </c>
      <c r="L239">
        <v>423.3</v>
      </c>
      <c r="M239" t="s">
        <v>63</v>
      </c>
      <c r="N239">
        <f t="shared" si="12"/>
        <v>6920007.5</v>
      </c>
      <c r="O239">
        <f t="shared" si="13"/>
        <v>2128590.5700000008</v>
      </c>
      <c r="P239">
        <f t="shared" si="14"/>
        <v>263</v>
      </c>
      <c r="Q239">
        <f t="shared" si="15"/>
        <v>126</v>
      </c>
    </row>
    <row r="240" spans="1:17" x14ac:dyDescent="0.25">
      <c r="A240" t="s">
        <v>419</v>
      </c>
      <c r="B240" s="3">
        <v>46235</v>
      </c>
      <c r="C240" t="s">
        <v>150</v>
      </c>
      <c r="D240" t="s">
        <v>52</v>
      </c>
      <c r="E240" t="s">
        <v>16</v>
      </c>
      <c r="F240" t="s">
        <v>240</v>
      </c>
      <c r="G240">
        <v>4</v>
      </c>
      <c r="H240">
        <v>8500</v>
      </c>
      <c r="I240">
        <v>15</v>
      </c>
      <c r="J240">
        <v>28900</v>
      </c>
      <c r="K240">
        <v>16924.560000000001</v>
      </c>
      <c r="L240">
        <v>11975.44</v>
      </c>
      <c r="M240" t="s">
        <v>46</v>
      </c>
      <c r="N240">
        <f t="shared" si="12"/>
        <v>6918727.5</v>
      </c>
      <c r="O240">
        <f t="shared" si="13"/>
        <v>2128167.2700000009</v>
      </c>
      <c r="P240">
        <f t="shared" si="14"/>
        <v>262</v>
      </c>
      <c r="Q240">
        <f t="shared" si="15"/>
        <v>126</v>
      </c>
    </row>
    <row r="241" spans="1:17" x14ac:dyDescent="0.25">
      <c r="A241" t="s">
        <v>420</v>
      </c>
      <c r="B241" s="3">
        <v>46024</v>
      </c>
      <c r="C241" t="s">
        <v>376</v>
      </c>
      <c r="D241" t="s">
        <v>52</v>
      </c>
      <c r="E241" t="s">
        <v>28</v>
      </c>
      <c r="F241" t="s">
        <v>29</v>
      </c>
      <c r="G241">
        <v>3</v>
      </c>
      <c r="H241">
        <v>1650</v>
      </c>
      <c r="I241">
        <v>0</v>
      </c>
      <c r="J241">
        <v>4950</v>
      </c>
      <c r="K241">
        <v>3251.69</v>
      </c>
      <c r="L241">
        <v>1698.31</v>
      </c>
      <c r="M241" t="s">
        <v>46</v>
      </c>
      <c r="N241">
        <f t="shared" si="12"/>
        <v>6889827.5</v>
      </c>
      <c r="O241">
        <f t="shared" si="13"/>
        <v>2116191.8300000005</v>
      </c>
      <c r="P241">
        <f t="shared" si="14"/>
        <v>261</v>
      </c>
      <c r="Q241">
        <f t="shared" si="15"/>
        <v>126</v>
      </c>
    </row>
    <row r="242" spans="1:17" x14ac:dyDescent="0.25">
      <c r="A242" t="s">
        <v>421</v>
      </c>
      <c r="B242" s="3">
        <v>46058</v>
      </c>
      <c r="C242" t="s">
        <v>332</v>
      </c>
      <c r="D242" t="s">
        <v>75</v>
      </c>
      <c r="E242" t="s">
        <v>16</v>
      </c>
      <c r="F242" t="s">
        <v>45</v>
      </c>
      <c r="G242">
        <v>3</v>
      </c>
      <c r="H242">
        <v>9550</v>
      </c>
      <c r="I242">
        <v>20</v>
      </c>
      <c r="J242">
        <v>22920</v>
      </c>
      <c r="K242">
        <v>18758.03</v>
      </c>
      <c r="L242">
        <v>4161.97</v>
      </c>
      <c r="M242" t="s">
        <v>30</v>
      </c>
      <c r="N242">
        <f t="shared" si="12"/>
        <v>6884877.5</v>
      </c>
      <c r="O242">
        <f t="shared" si="13"/>
        <v>2114493.5200000009</v>
      </c>
      <c r="P242">
        <f t="shared" si="14"/>
        <v>260</v>
      </c>
      <c r="Q242">
        <f t="shared" si="15"/>
        <v>126</v>
      </c>
    </row>
    <row r="243" spans="1:17" x14ac:dyDescent="0.25">
      <c r="A243" t="s">
        <v>422</v>
      </c>
      <c r="B243" s="3">
        <v>46218</v>
      </c>
      <c r="C243" t="s">
        <v>355</v>
      </c>
      <c r="D243" t="s">
        <v>27</v>
      </c>
      <c r="E243" t="s">
        <v>22</v>
      </c>
      <c r="F243" t="s">
        <v>95</v>
      </c>
      <c r="G243">
        <v>2</v>
      </c>
      <c r="H243">
        <v>3350</v>
      </c>
      <c r="I243">
        <v>15</v>
      </c>
      <c r="J243">
        <v>5695</v>
      </c>
      <c r="K243">
        <v>3708.04</v>
      </c>
      <c r="L243">
        <v>1986.96</v>
      </c>
      <c r="M243" t="s">
        <v>63</v>
      </c>
      <c r="N243">
        <f t="shared" si="12"/>
        <v>6861957.5</v>
      </c>
      <c r="O243">
        <f t="shared" si="13"/>
        <v>2110331.5500000007</v>
      </c>
      <c r="P243">
        <f t="shared" si="14"/>
        <v>259</v>
      </c>
      <c r="Q243">
        <f t="shared" si="15"/>
        <v>126</v>
      </c>
    </row>
    <row r="244" spans="1:17" x14ac:dyDescent="0.25">
      <c r="A244" t="s">
        <v>423</v>
      </c>
      <c r="B244" s="3">
        <v>46298</v>
      </c>
      <c r="C244" t="s">
        <v>382</v>
      </c>
      <c r="D244" t="s">
        <v>21</v>
      </c>
      <c r="E244" t="s">
        <v>16</v>
      </c>
      <c r="F244" t="s">
        <v>240</v>
      </c>
      <c r="G244">
        <v>2</v>
      </c>
      <c r="H244">
        <v>46800</v>
      </c>
      <c r="I244">
        <v>0</v>
      </c>
      <c r="J244">
        <v>93600</v>
      </c>
      <c r="K244">
        <v>55990.39</v>
      </c>
      <c r="L244">
        <v>37609.61</v>
      </c>
      <c r="M244" t="s">
        <v>24</v>
      </c>
      <c r="N244">
        <f t="shared" si="12"/>
        <v>6856262.5</v>
      </c>
      <c r="O244">
        <f t="shared" si="13"/>
        <v>2108344.5900000008</v>
      </c>
      <c r="P244">
        <f t="shared" si="14"/>
        <v>258</v>
      </c>
      <c r="Q244">
        <f t="shared" si="15"/>
        <v>126</v>
      </c>
    </row>
    <row r="245" spans="1:17" x14ac:dyDescent="0.25">
      <c r="A245" t="s">
        <v>424</v>
      </c>
      <c r="B245" s="3">
        <v>46301</v>
      </c>
      <c r="C245" t="s">
        <v>93</v>
      </c>
      <c r="D245" t="s">
        <v>21</v>
      </c>
      <c r="E245" t="s">
        <v>55</v>
      </c>
      <c r="F245" t="s">
        <v>132</v>
      </c>
      <c r="G245">
        <v>1</v>
      </c>
      <c r="H245">
        <v>5400</v>
      </c>
      <c r="I245">
        <v>15</v>
      </c>
      <c r="J245">
        <v>4590</v>
      </c>
      <c r="K245">
        <v>3359.17</v>
      </c>
      <c r="L245">
        <v>1230.83</v>
      </c>
      <c r="M245" t="s">
        <v>63</v>
      </c>
      <c r="N245">
        <f t="shared" si="12"/>
        <v>6762662.5</v>
      </c>
      <c r="O245">
        <f t="shared" si="13"/>
        <v>2070734.9800000007</v>
      </c>
      <c r="P245">
        <f t="shared" si="14"/>
        <v>257</v>
      </c>
      <c r="Q245">
        <f t="shared" si="15"/>
        <v>126</v>
      </c>
    </row>
    <row r="246" spans="1:17" x14ac:dyDescent="0.25">
      <c r="A246" t="s">
        <v>425</v>
      </c>
      <c r="B246" s="3">
        <v>46080</v>
      </c>
      <c r="C246" t="s">
        <v>266</v>
      </c>
      <c r="D246" t="s">
        <v>27</v>
      </c>
      <c r="E246" t="s">
        <v>55</v>
      </c>
      <c r="F246" t="s">
        <v>97</v>
      </c>
      <c r="G246">
        <v>4</v>
      </c>
      <c r="H246">
        <v>6150</v>
      </c>
      <c r="I246">
        <v>5</v>
      </c>
      <c r="J246">
        <v>23370</v>
      </c>
      <c r="K246">
        <v>14592.82</v>
      </c>
      <c r="L246">
        <v>8777.18</v>
      </c>
      <c r="M246" t="s">
        <v>18</v>
      </c>
      <c r="N246">
        <f t="shared" si="12"/>
        <v>6758072.5</v>
      </c>
      <c r="O246">
        <f t="shared" si="13"/>
        <v>2069504.1500000006</v>
      </c>
      <c r="P246">
        <f t="shared" si="14"/>
        <v>256</v>
      </c>
      <c r="Q246">
        <f t="shared" si="15"/>
        <v>126</v>
      </c>
    </row>
    <row r="247" spans="1:17" x14ac:dyDescent="0.25">
      <c r="A247" t="s">
        <v>426</v>
      </c>
      <c r="B247" s="3">
        <v>46251</v>
      </c>
      <c r="C247" t="s">
        <v>427</v>
      </c>
      <c r="D247" t="s">
        <v>80</v>
      </c>
      <c r="E247" t="s">
        <v>16</v>
      </c>
      <c r="F247" t="s">
        <v>107</v>
      </c>
      <c r="G247">
        <v>2</v>
      </c>
      <c r="H247">
        <v>10000</v>
      </c>
      <c r="I247">
        <v>0</v>
      </c>
      <c r="J247">
        <v>20000</v>
      </c>
      <c r="K247">
        <v>14207.3</v>
      </c>
      <c r="L247">
        <v>5792.7</v>
      </c>
      <c r="M247" t="s">
        <v>46</v>
      </c>
      <c r="N247">
        <f t="shared" si="12"/>
        <v>6734702.5</v>
      </c>
      <c r="O247">
        <f t="shared" si="13"/>
        <v>2060726.9700000004</v>
      </c>
      <c r="P247">
        <f t="shared" si="14"/>
        <v>255</v>
      </c>
      <c r="Q247">
        <f t="shared" si="15"/>
        <v>126</v>
      </c>
    </row>
    <row r="248" spans="1:17" x14ac:dyDescent="0.25">
      <c r="A248" t="s">
        <v>428</v>
      </c>
      <c r="B248" s="3">
        <v>46051</v>
      </c>
      <c r="C248" t="s">
        <v>385</v>
      </c>
      <c r="D248" t="s">
        <v>21</v>
      </c>
      <c r="E248" t="s">
        <v>22</v>
      </c>
      <c r="F248" t="s">
        <v>165</v>
      </c>
      <c r="G248">
        <v>2</v>
      </c>
      <c r="H248">
        <v>2400</v>
      </c>
      <c r="I248">
        <v>5</v>
      </c>
      <c r="J248">
        <v>4560</v>
      </c>
      <c r="K248">
        <v>3436.8</v>
      </c>
      <c r="L248">
        <v>1123.2</v>
      </c>
      <c r="M248" t="s">
        <v>30</v>
      </c>
      <c r="N248">
        <f t="shared" si="12"/>
        <v>6714702.5</v>
      </c>
      <c r="O248">
        <f t="shared" si="13"/>
        <v>2054934.2700000003</v>
      </c>
      <c r="P248">
        <f t="shared" si="14"/>
        <v>254</v>
      </c>
      <c r="Q248">
        <f t="shared" si="15"/>
        <v>126</v>
      </c>
    </row>
    <row r="249" spans="1:17" x14ac:dyDescent="0.25">
      <c r="A249" t="s">
        <v>429</v>
      </c>
      <c r="B249" s="3">
        <v>46187</v>
      </c>
      <c r="C249" t="s">
        <v>430</v>
      </c>
      <c r="D249" t="s">
        <v>44</v>
      </c>
      <c r="E249" t="s">
        <v>55</v>
      </c>
      <c r="F249" t="s">
        <v>179</v>
      </c>
      <c r="G249">
        <v>3</v>
      </c>
      <c r="H249">
        <v>9950</v>
      </c>
      <c r="I249">
        <v>20</v>
      </c>
      <c r="J249">
        <v>23880</v>
      </c>
      <c r="K249">
        <v>18115.02</v>
      </c>
      <c r="L249">
        <v>5764.98</v>
      </c>
      <c r="M249" t="s">
        <v>24</v>
      </c>
      <c r="N249">
        <f t="shared" si="12"/>
        <v>6710142.5</v>
      </c>
      <c r="O249">
        <f t="shared" si="13"/>
        <v>2053811.0700000005</v>
      </c>
      <c r="P249">
        <f t="shared" si="14"/>
        <v>253</v>
      </c>
      <c r="Q249">
        <f t="shared" si="15"/>
        <v>126</v>
      </c>
    </row>
    <row r="250" spans="1:17" x14ac:dyDescent="0.25">
      <c r="A250" t="s">
        <v>431</v>
      </c>
      <c r="B250" s="3">
        <v>46325</v>
      </c>
      <c r="C250" t="s">
        <v>357</v>
      </c>
      <c r="D250" t="s">
        <v>27</v>
      </c>
      <c r="E250" t="s">
        <v>28</v>
      </c>
      <c r="F250" t="s">
        <v>49</v>
      </c>
      <c r="G250">
        <v>4</v>
      </c>
      <c r="H250">
        <v>750</v>
      </c>
      <c r="I250">
        <v>10</v>
      </c>
      <c r="J250">
        <v>2700</v>
      </c>
      <c r="K250">
        <v>1529.44</v>
      </c>
      <c r="L250">
        <v>1170.56</v>
      </c>
      <c r="M250" t="s">
        <v>18</v>
      </c>
      <c r="N250">
        <f t="shared" si="12"/>
        <v>6686262.5</v>
      </c>
      <c r="O250">
        <f t="shared" si="13"/>
        <v>2048046.09</v>
      </c>
      <c r="P250">
        <f t="shared" si="14"/>
        <v>252</v>
      </c>
      <c r="Q250">
        <f t="shared" si="15"/>
        <v>126</v>
      </c>
    </row>
    <row r="251" spans="1:17" x14ac:dyDescent="0.25">
      <c r="A251" t="s">
        <v>432</v>
      </c>
      <c r="B251" s="3">
        <v>46186</v>
      </c>
      <c r="C251" t="s">
        <v>160</v>
      </c>
      <c r="D251" t="s">
        <v>27</v>
      </c>
      <c r="E251" t="s">
        <v>22</v>
      </c>
      <c r="F251" t="s">
        <v>23</v>
      </c>
      <c r="G251">
        <v>3</v>
      </c>
      <c r="H251">
        <v>2850</v>
      </c>
      <c r="I251">
        <v>15</v>
      </c>
      <c r="J251">
        <v>7267.5</v>
      </c>
      <c r="K251">
        <v>5539.05</v>
      </c>
      <c r="L251">
        <v>1728.45</v>
      </c>
      <c r="M251" t="s">
        <v>24</v>
      </c>
      <c r="N251">
        <f t="shared" si="12"/>
        <v>6683562.5</v>
      </c>
      <c r="O251">
        <f t="shared" si="13"/>
        <v>2046875.53</v>
      </c>
      <c r="P251">
        <f t="shared" si="14"/>
        <v>251</v>
      </c>
      <c r="Q251">
        <f t="shared" si="15"/>
        <v>126</v>
      </c>
    </row>
    <row r="252" spans="1:17" x14ac:dyDescent="0.25">
      <c r="A252" t="s">
        <v>433</v>
      </c>
      <c r="B252" s="3">
        <v>46138</v>
      </c>
      <c r="C252" t="s">
        <v>404</v>
      </c>
      <c r="D252" t="s">
        <v>68</v>
      </c>
      <c r="E252" t="s">
        <v>34</v>
      </c>
      <c r="F252" t="s">
        <v>69</v>
      </c>
      <c r="G252">
        <v>2</v>
      </c>
      <c r="H252">
        <v>4800</v>
      </c>
      <c r="I252">
        <v>15</v>
      </c>
      <c r="J252">
        <v>8160</v>
      </c>
      <c r="K252">
        <v>5018.8999999999996</v>
      </c>
      <c r="L252">
        <v>3141.1</v>
      </c>
      <c r="M252" t="s">
        <v>63</v>
      </c>
      <c r="N252">
        <f t="shared" si="12"/>
        <v>6676295</v>
      </c>
      <c r="O252">
        <f t="shared" si="13"/>
        <v>2045147.0800000003</v>
      </c>
      <c r="P252">
        <f t="shared" si="14"/>
        <v>250</v>
      </c>
      <c r="Q252">
        <f t="shared" si="15"/>
        <v>126</v>
      </c>
    </row>
    <row r="253" spans="1:17" x14ac:dyDescent="0.25">
      <c r="A253" t="s">
        <v>434</v>
      </c>
      <c r="B253" s="3">
        <v>46221</v>
      </c>
      <c r="C253" t="s">
        <v>181</v>
      </c>
      <c r="D253" t="s">
        <v>44</v>
      </c>
      <c r="E253" t="s">
        <v>16</v>
      </c>
      <c r="F253" t="s">
        <v>240</v>
      </c>
      <c r="G253">
        <v>4</v>
      </c>
      <c r="H253">
        <v>55800</v>
      </c>
      <c r="I253">
        <v>20</v>
      </c>
      <c r="J253">
        <v>178560</v>
      </c>
      <c r="K253">
        <v>123759.54</v>
      </c>
      <c r="L253">
        <v>54800.46</v>
      </c>
      <c r="M253" t="s">
        <v>24</v>
      </c>
      <c r="N253">
        <f t="shared" si="12"/>
        <v>6668135</v>
      </c>
      <c r="O253">
        <f t="shared" si="13"/>
        <v>2042005.9800000002</v>
      </c>
      <c r="P253">
        <f t="shared" si="14"/>
        <v>249</v>
      </c>
      <c r="Q253">
        <f t="shared" si="15"/>
        <v>126</v>
      </c>
    </row>
    <row r="254" spans="1:17" x14ac:dyDescent="0.25">
      <c r="A254" t="s">
        <v>435</v>
      </c>
      <c r="B254" s="3">
        <v>46120</v>
      </c>
      <c r="C254" t="s">
        <v>120</v>
      </c>
      <c r="D254" t="s">
        <v>44</v>
      </c>
      <c r="E254" t="s">
        <v>34</v>
      </c>
      <c r="F254" t="s">
        <v>38</v>
      </c>
      <c r="G254">
        <v>4</v>
      </c>
      <c r="H254">
        <v>3450</v>
      </c>
      <c r="I254">
        <v>0</v>
      </c>
      <c r="J254">
        <v>13800</v>
      </c>
      <c r="K254">
        <v>9585.7800000000007</v>
      </c>
      <c r="L254">
        <v>4214.22</v>
      </c>
      <c r="M254" t="s">
        <v>63</v>
      </c>
      <c r="N254">
        <f t="shared" si="12"/>
        <v>6489575</v>
      </c>
      <c r="O254">
        <f t="shared" si="13"/>
        <v>1987205.5200000003</v>
      </c>
      <c r="P254">
        <f t="shared" si="14"/>
        <v>248</v>
      </c>
      <c r="Q254">
        <f t="shared" si="15"/>
        <v>126</v>
      </c>
    </row>
    <row r="255" spans="1:17" x14ac:dyDescent="0.25">
      <c r="A255" t="s">
        <v>436</v>
      </c>
      <c r="B255" s="3">
        <v>46323</v>
      </c>
      <c r="C255" t="s">
        <v>288</v>
      </c>
      <c r="D255" t="s">
        <v>80</v>
      </c>
      <c r="E255" t="s">
        <v>28</v>
      </c>
      <c r="F255" t="s">
        <v>86</v>
      </c>
      <c r="G255">
        <v>1</v>
      </c>
      <c r="H255">
        <v>300</v>
      </c>
      <c r="I255">
        <v>5</v>
      </c>
      <c r="J255">
        <v>285</v>
      </c>
      <c r="K255">
        <v>218.67</v>
      </c>
      <c r="L255">
        <v>66.33</v>
      </c>
      <c r="M255" t="s">
        <v>63</v>
      </c>
      <c r="N255">
        <f t="shared" si="12"/>
        <v>6475775</v>
      </c>
      <c r="O255">
        <f t="shared" si="13"/>
        <v>1982991.3</v>
      </c>
      <c r="P255">
        <f t="shared" si="14"/>
        <v>247</v>
      </c>
      <c r="Q255">
        <f t="shared" si="15"/>
        <v>126</v>
      </c>
    </row>
    <row r="256" spans="1:17" x14ac:dyDescent="0.25">
      <c r="A256" t="s">
        <v>437</v>
      </c>
      <c r="B256" s="3">
        <v>46083</v>
      </c>
      <c r="C256" t="s">
        <v>393</v>
      </c>
      <c r="D256" t="s">
        <v>80</v>
      </c>
      <c r="E256" t="s">
        <v>55</v>
      </c>
      <c r="F256" t="s">
        <v>141</v>
      </c>
      <c r="G256">
        <v>3</v>
      </c>
      <c r="H256">
        <v>750</v>
      </c>
      <c r="I256">
        <v>5</v>
      </c>
      <c r="J256">
        <v>2137.5</v>
      </c>
      <c r="K256">
        <v>1716.48</v>
      </c>
      <c r="L256">
        <v>421.02</v>
      </c>
      <c r="M256" t="s">
        <v>18</v>
      </c>
      <c r="N256">
        <f t="shared" si="12"/>
        <v>6475490</v>
      </c>
      <c r="O256">
        <f t="shared" si="13"/>
        <v>1982924.9700000004</v>
      </c>
      <c r="P256">
        <f t="shared" si="14"/>
        <v>246</v>
      </c>
      <c r="Q256">
        <f t="shared" si="15"/>
        <v>126</v>
      </c>
    </row>
    <row r="257" spans="1:17" x14ac:dyDescent="0.25">
      <c r="A257" t="s">
        <v>438</v>
      </c>
      <c r="B257" s="3">
        <v>46217</v>
      </c>
      <c r="C257" t="s">
        <v>176</v>
      </c>
      <c r="D257" t="s">
        <v>21</v>
      </c>
      <c r="E257" t="s">
        <v>55</v>
      </c>
      <c r="F257" t="s">
        <v>56</v>
      </c>
      <c r="G257">
        <v>2</v>
      </c>
      <c r="H257">
        <v>9550</v>
      </c>
      <c r="I257">
        <v>10</v>
      </c>
      <c r="J257">
        <v>17190</v>
      </c>
      <c r="K257">
        <v>13053.89</v>
      </c>
      <c r="L257">
        <v>4136.1099999999997</v>
      </c>
      <c r="M257" t="s">
        <v>30</v>
      </c>
      <c r="N257">
        <f t="shared" si="12"/>
        <v>6473352.5</v>
      </c>
      <c r="O257">
        <f t="shared" si="13"/>
        <v>1982503.9500000004</v>
      </c>
      <c r="P257">
        <f t="shared" si="14"/>
        <v>245</v>
      </c>
      <c r="Q257">
        <f t="shared" si="15"/>
        <v>126</v>
      </c>
    </row>
    <row r="258" spans="1:17" x14ac:dyDescent="0.25">
      <c r="A258" t="s">
        <v>439</v>
      </c>
      <c r="B258" s="3">
        <v>46263</v>
      </c>
      <c r="C258" t="s">
        <v>330</v>
      </c>
      <c r="D258" t="s">
        <v>80</v>
      </c>
      <c r="E258" t="s">
        <v>34</v>
      </c>
      <c r="F258" t="s">
        <v>116</v>
      </c>
      <c r="G258">
        <v>3</v>
      </c>
      <c r="H258">
        <v>4600</v>
      </c>
      <c r="I258">
        <v>15</v>
      </c>
      <c r="J258">
        <v>11730</v>
      </c>
      <c r="K258">
        <v>7927.38</v>
      </c>
      <c r="L258">
        <v>3802.62</v>
      </c>
      <c r="M258" t="s">
        <v>30</v>
      </c>
      <c r="N258">
        <f t="shared" ref="N258:N321" si="16">SUM(J258:J757)</f>
        <v>6456162.5</v>
      </c>
      <c r="O258">
        <f t="shared" ref="O258:O321" si="17">SUM(L258:L757)</f>
        <v>1978367.8400000005</v>
      </c>
      <c r="P258">
        <f t="shared" ref="P258:P321" si="18">COUNTA(A258:A757)</f>
        <v>244</v>
      </c>
      <c r="Q258">
        <f t="shared" ref="Q258:Q321" si="19">COUNTA(_xlfn.UNIQUE(C258:C757))</f>
        <v>125</v>
      </c>
    </row>
    <row r="259" spans="1:17" x14ac:dyDescent="0.25">
      <c r="A259" t="s">
        <v>440</v>
      </c>
      <c r="B259" s="3">
        <v>46031</v>
      </c>
      <c r="C259" t="s">
        <v>190</v>
      </c>
      <c r="D259" t="s">
        <v>21</v>
      </c>
      <c r="E259" t="s">
        <v>34</v>
      </c>
      <c r="F259" t="s">
        <v>69</v>
      </c>
      <c r="G259">
        <v>1</v>
      </c>
      <c r="H259">
        <v>5000</v>
      </c>
      <c r="I259">
        <v>5</v>
      </c>
      <c r="J259">
        <v>4750</v>
      </c>
      <c r="K259">
        <v>3563.16</v>
      </c>
      <c r="L259">
        <v>1186.8399999999999</v>
      </c>
      <c r="M259" t="s">
        <v>18</v>
      </c>
      <c r="N259">
        <f t="shared" si="16"/>
        <v>6444432.5</v>
      </c>
      <c r="O259">
        <f t="shared" si="17"/>
        <v>1974565.2200000004</v>
      </c>
      <c r="P259">
        <f t="shared" si="18"/>
        <v>243</v>
      </c>
      <c r="Q259">
        <f t="shared" si="19"/>
        <v>124</v>
      </c>
    </row>
    <row r="260" spans="1:17" x14ac:dyDescent="0.25">
      <c r="A260" t="s">
        <v>441</v>
      </c>
      <c r="B260" s="3">
        <v>46217</v>
      </c>
      <c r="C260" t="s">
        <v>188</v>
      </c>
      <c r="D260" t="s">
        <v>80</v>
      </c>
      <c r="E260" t="s">
        <v>28</v>
      </c>
      <c r="F260" t="s">
        <v>29</v>
      </c>
      <c r="G260">
        <v>3</v>
      </c>
      <c r="H260">
        <v>450</v>
      </c>
      <c r="I260">
        <v>5</v>
      </c>
      <c r="J260">
        <v>1282.5</v>
      </c>
      <c r="K260">
        <v>819.6</v>
      </c>
      <c r="L260">
        <v>462.9</v>
      </c>
      <c r="M260" t="s">
        <v>63</v>
      </c>
      <c r="N260">
        <f t="shared" si="16"/>
        <v>6439682.5</v>
      </c>
      <c r="O260">
        <f t="shared" si="17"/>
        <v>1973378.3800000006</v>
      </c>
      <c r="P260">
        <f t="shared" si="18"/>
        <v>242</v>
      </c>
      <c r="Q260">
        <f t="shared" si="19"/>
        <v>124</v>
      </c>
    </row>
    <row r="261" spans="1:17" x14ac:dyDescent="0.25">
      <c r="A261" t="s">
        <v>442</v>
      </c>
      <c r="B261" s="3">
        <v>46351</v>
      </c>
      <c r="C261" t="s">
        <v>202</v>
      </c>
      <c r="D261" t="s">
        <v>59</v>
      </c>
      <c r="E261" t="s">
        <v>28</v>
      </c>
      <c r="F261" t="s">
        <v>41</v>
      </c>
      <c r="G261">
        <v>3</v>
      </c>
      <c r="H261">
        <v>1700</v>
      </c>
      <c r="I261">
        <v>15</v>
      </c>
      <c r="J261">
        <v>4335</v>
      </c>
      <c r="K261">
        <v>3515.5</v>
      </c>
      <c r="L261">
        <v>819.5</v>
      </c>
      <c r="M261" t="s">
        <v>24</v>
      </c>
      <c r="N261">
        <f t="shared" si="16"/>
        <v>6438400</v>
      </c>
      <c r="O261">
        <f t="shared" si="17"/>
        <v>1972915.4800000002</v>
      </c>
      <c r="P261">
        <f t="shared" si="18"/>
        <v>241</v>
      </c>
      <c r="Q261">
        <f t="shared" si="19"/>
        <v>123</v>
      </c>
    </row>
    <row r="262" spans="1:17" x14ac:dyDescent="0.25">
      <c r="A262" t="s">
        <v>443</v>
      </c>
      <c r="B262" s="3">
        <v>46300</v>
      </c>
      <c r="C262" t="s">
        <v>85</v>
      </c>
      <c r="D262" t="s">
        <v>21</v>
      </c>
      <c r="E262" t="s">
        <v>34</v>
      </c>
      <c r="F262" t="s">
        <v>35</v>
      </c>
      <c r="G262">
        <v>2</v>
      </c>
      <c r="H262">
        <v>4900</v>
      </c>
      <c r="I262">
        <v>15</v>
      </c>
      <c r="J262">
        <v>8330</v>
      </c>
      <c r="K262">
        <v>4995.4399999999996</v>
      </c>
      <c r="L262">
        <v>3334.56</v>
      </c>
      <c r="M262" t="s">
        <v>46</v>
      </c>
      <c r="N262">
        <f t="shared" si="16"/>
        <v>6434065</v>
      </c>
      <c r="O262">
        <f t="shared" si="17"/>
        <v>1972095.9800000002</v>
      </c>
      <c r="P262">
        <f t="shared" si="18"/>
        <v>240</v>
      </c>
      <c r="Q262">
        <f t="shared" si="19"/>
        <v>123</v>
      </c>
    </row>
    <row r="263" spans="1:17" x14ac:dyDescent="0.25">
      <c r="A263" t="s">
        <v>444</v>
      </c>
      <c r="B263" s="3">
        <v>46141</v>
      </c>
      <c r="C263" t="s">
        <v>445</v>
      </c>
      <c r="D263" t="s">
        <v>68</v>
      </c>
      <c r="E263" t="s">
        <v>16</v>
      </c>
      <c r="F263" t="s">
        <v>17</v>
      </c>
      <c r="G263">
        <v>1</v>
      </c>
      <c r="H263">
        <v>55250</v>
      </c>
      <c r="I263">
        <v>5</v>
      </c>
      <c r="J263">
        <v>52487.5</v>
      </c>
      <c r="K263">
        <v>40808.35</v>
      </c>
      <c r="L263">
        <v>11679.15</v>
      </c>
      <c r="M263" t="s">
        <v>46</v>
      </c>
      <c r="N263">
        <f t="shared" si="16"/>
        <v>6425735</v>
      </c>
      <c r="O263">
        <f t="shared" si="17"/>
        <v>1968761.4200000002</v>
      </c>
      <c r="P263">
        <f t="shared" si="18"/>
        <v>239</v>
      </c>
      <c r="Q263">
        <f t="shared" si="19"/>
        <v>122</v>
      </c>
    </row>
    <row r="264" spans="1:17" x14ac:dyDescent="0.25">
      <c r="A264" t="s">
        <v>446</v>
      </c>
      <c r="B264" s="3">
        <v>46364</v>
      </c>
      <c r="C264" t="s">
        <v>229</v>
      </c>
      <c r="D264" t="s">
        <v>59</v>
      </c>
      <c r="E264" t="s">
        <v>55</v>
      </c>
      <c r="F264" t="s">
        <v>179</v>
      </c>
      <c r="G264">
        <v>4</v>
      </c>
      <c r="H264">
        <v>6600</v>
      </c>
      <c r="I264">
        <v>0</v>
      </c>
      <c r="J264">
        <v>26400</v>
      </c>
      <c r="K264">
        <v>18923.93</v>
      </c>
      <c r="L264">
        <v>7476.07</v>
      </c>
      <c r="M264" t="s">
        <v>46</v>
      </c>
      <c r="N264">
        <f t="shared" si="16"/>
        <v>6373247.5</v>
      </c>
      <c r="O264">
        <f t="shared" si="17"/>
        <v>1957082.2700000003</v>
      </c>
      <c r="P264">
        <f t="shared" si="18"/>
        <v>238</v>
      </c>
      <c r="Q264">
        <f t="shared" si="19"/>
        <v>122</v>
      </c>
    </row>
    <row r="265" spans="1:17" x14ac:dyDescent="0.25">
      <c r="A265" t="s">
        <v>447</v>
      </c>
      <c r="B265" s="3">
        <v>46163</v>
      </c>
      <c r="C265" t="s">
        <v>164</v>
      </c>
      <c r="D265" t="s">
        <v>44</v>
      </c>
      <c r="E265" t="s">
        <v>16</v>
      </c>
      <c r="F265" t="s">
        <v>240</v>
      </c>
      <c r="G265">
        <v>5</v>
      </c>
      <c r="H265">
        <v>55100</v>
      </c>
      <c r="I265">
        <v>0</v>
      </c>
      <c r="J265">
        <v>275500</v>
      </c>
      <c r="K265">
        <v>152769.17000000001</v>
      </c>
      <c r="L265">
        <v>122730.83</v>
      </c>
      <c r="M265" t="s">
        <v>46</v>
      </c>
      <c r="N265">
        <f t="shared" si="16"/>
        <v>6346847.5</v>
      </c>
      <c r="O265">
        <f t="shared" si="17"/>
        <v>1949606.2</v>
      </c>
      <c r="P265">
        <f t="shared" si="18"/>
        <v>237</v>
      </c>
      <c r="Q265">
        <f t="shared" si="19"/>
        <v>122</v>
      </c>
    </row>
    <row r="266" spans="1:17" x14ac:dyDescent="0.25">
      <c r="A266" t="s">
        <v>448</v>
      </c>
      <c r="B266" s="3">
        <v>46146</v>
      </c>
      <c r="C266" t="s">
        <v>320</v>
      </c>
      <c r="D266" t="s">
        <v>52</v>
      </c>
      <c r="E266" t="s">
        <v>28</v>
      </c>
      <c r="F266" t="s">
        <v>29</v>
      </c>
      <c r="G266">
        <v>2</v>
      </c>
      <c r="H266">
        <v>350</v>
      </c>
      <c r="I266">
        <v>0</v>
      </c>
      <c r="J266">
        <v>700</v>
      </c>
      <c r="K266">
        <v>484.11</v>
      </c>
      <c r="L266">
        <v>215.89</v>
      </c>
      <c r="M266" t="s">
        <v>18</v>
      </c>
      <c r="N266">
        <f t="shared" si="16"/>
        <v>6071347.5</v>
      </c>
      <c r="O266">
        <f t="shared" si="17"/>
        <v>1826875.3700000003</v>
      </c>
      <c r="P266">
        <f t="shared" si="18"/>
        <v>236</v>
      </c>
      <c r="Q266">
        <f t="shared" si="19"/>
        <v>121</v>
      </c>
    </row>
    <row r="267" spans="1:17" x14ac:dyDescent="0.25">
      <c r="A267" t="s">
        <v>449</v>
      </c>
      <c r="B267" s="3">
        <v>46230</v>
      </c>
      <c r="C267" t="s">
        <v>185</v>
      </c>
      <c r="D267" t="s">
        <v>52</v>
      </c>
      <c r="E267" t="s">
        <v>34</v>
      </c>
      <c r="F267" t="s">
        <v>116</v>
      </c>
      <c r="G267">
        <v>3</v>
      </c>
      <c r="H267">
        <v>3650</v>
      </c>
      <c r="I267">
        <v>0</v>
      </c>
      <c r="J267">
        <v>10950</v>
      </c>
      <c r="K267">
        <v>7125.43</v>
      </c>
      <c r="L267">
        <v>3824.57</v>
      </c>
      <c r="M267" t="s">
        <v>24</v>
      </c>
      <c r="N267">
        <f t="shared" si="16"/>
        <v>6070647.5</v>
      </c>
      <c r="O267">
        <f t="shared" si="17"/>
        <v>1826659.4800000004</v>
      </c>
      <c r="P267">
        <f t="shared" si="18"/>
        <v>235</v>
      </c>
      <c r="Q267">
        <f t="shared" si="19"/>
        <v>120</v>
      </c>
    </row>
    <row r="268" spans="1:17" x14ac:dyDescent="0.25">
      <c r="A268" t="s">
        <v>450</v>
      </c>
      <c r="B268" s="3">
        <v>46217</v>
      </c>
      <c r="C268" t="s">
        <v>234</v>
      </c>
      <c r="D268" t="s">
        <v>21</v>
      </c>
      <c r="E268" t="s">
        <v>55</v>
      </c>
      <c r="F268" t="s">
        <v>141</v>
      </c>
      <c r="G268">
        <v>1</v>
      </c>
      <c r="H268">
        <v>11200</v>
      </c>
      <c r="I268">
        <v>0</v>
      </c>
      <c r="J268">
        <v>11200</v>
      </c>
      <c r="K268">
        <v>6442.75</v>
      </c>
      <c r="L268">
        <v>4757.25</v>
      </c>
      <c r="M268" t="s">
        <v>63</v>
      </c>
      <c r="N268">
        <f t="shared" si="16"/>
        <v>6059697.5</v>
      </c>
      <c r="O268">
        <f t="shared" si="17"/>
        <v>1822834.9100000004</v>
      </c>
      <c r="P268">
        <f t="shared" si="18"/>
        <v>234</v>
      </c>
      <c r="Q268">
        <f t="shared" si="19"/>
        <v>120</v>
      </c>
    </row>
    <row r="269" spans="1:17" x14ac:dyDescent="0.25">
      <c r="A269" t="s">
        <v>451</v>
      </c>
      <c r="B269" s="3">
        <v>46353</v>
      </c>
      <c r="C269" t="s">
        <v>238</v>
      </c>
      <c r="D269" t="s">
        <v>52</v>
      </c>
      <c r="E269" t="s">
        <v>16</v>
      </c>
      <c r="F269" t="s">
        <v>17</v>
      </c>
      <c r="G269">
        <v>2</v>
      </c>
      <c r="H269">
        <v>12050</v>
      </c>
      <c r="I269">
        <v>15</v>
      </c>
      <c r="J269">
        <v>20485</v>
      </c>
      <c r="K269">
        <v>15942.23</v>
      </c>
      <c r="L269">
        <v>4542.7700000000004</v>
      </c>
      <c r="M269" t="s">
        <v>46</v>
      </c>
      <c r="N269">
        <f t="shared" si="16"/>
        <v>6048497.5</v>
      </c>
      <c r="O269">
        <f t="shared" si="17"/>
        <v>1818077.6600000004</v>
      </c>
      <c r="P269">
        <f t="shared" si="18"/>
        <v>233</v>
      </c>
      <c r="Q269">
        <f t="shared" si="19"/>
        <v>120</v>
      </c>
    </row>
    <row r="270" spans="1:17" x14ac:dyDescent="0.25">
      <c r="A270" t="s">
        <v>452</v>
      </c>
      <c r="B270" s="3">
        <v>46046</v>
      </c>
      <c r="C270" t="s">
        <v>453</v>
      </c>
      <c r="D270" t="s">
        <v>44</v>
      </c>
      <c r="E270" t="s">
        <v>28</v>
      </c>
      <c r="F270" t="s">
        <v>78</v>
      </c>
      <c r="G270">
        <v>2</v>
      </c>
      <c r="H270">
        <v>600</v>
      </c>
      <c r="I270">
        <v>20</v>
      </c>
      <c r="J270">
        <v>960</v>
      </c>
      <c r="K270">
        <v>651.25</v>
      </c>
      <c r="L270">
        <v>308.75</v>
      </c>
      <c r="M270" t="s">
        <v>18</v>
      </c>
      <c r="N270">
        <f t="shared" si="16"/>
        <v>6028012.5</v>
      </c>
      <c r="O270">
        <f t="shared" si="17"/>
        <v>1813534.8900000004</v>
      </c>
      <c r="P270">
        <f t="shared" si="18"/>
        <v>232</v>
      </c>
      <c r="Q270">
        <f t="shared" si="19"/>
        <v>120</v>
      </c>
    </row>
    <row r="271" spans="1:17" x14ac:dyDescent="0.25">
      <c r="A271" t="s">
        <v>454</v>
      </c>
      <c r="B271" s="3">
        <v>46323</v>
      </c>
      <c r="C271" t="s">
        <v>455</v>
      </c>
      <c r="D271" t="s">
        <v>27</v>
      </c>
      <c r="E271" t="s">
        <v>28</v>
      </c>
      <c r="F271" t="s">
        <v>78</v>
      </c>
      <c r="G271">
        <v>2</v>
      </c>
      <c r="H271">
        <v>800</v>
      </c>
      <c r="I271">
        <v>0</v>
      </c>
      <c r="J271">
        <v>1600</v>
      </c>
      <c r="K271">
        <v>1295.3499999999999</v>
      </c>
      <c r="L271">
        <v>304.64999999999998</v>
      </c>
      <c r="M271" t="s">
        <v>46</v>
      </c>
      <c r="N271">
        <f t="shared" si="16"/>
        <v>6027052.5</v>
      </c>
      <c r="O271">
        <f t="shared" si="17"/>
        <v>1813226.1400000004</v>
      </c>
      <c r="P271">
        <f t="shared" si="18"/>
        <v>231</v>
      </c>
      <c r="Q271">
        <f t="shared" si="19"/>
        <v>120</v>
      </c>
    </row>
    <row r="272" spans="1:17" x14ac:dyDescent="0.25">
      <c r="A272" t="s">
        <v>456</v>
      </c>
      <c r="B272" s="3">
        <v>46222</v>
      </c>
      <c r="C272" t="s">
        <v>71</v>
      </c>
      <c r="D272" t="s">
        <v>33</v>
      </c>
      <c r="E272" t="s">
        <v>34</v>
      </c>
      <c r="F272" t="s">
        <v>35</v>
      </c>
      <c r="G272">
        <v>5</v>
      </c>
      <c r="H272">
        <v>2350</v>
      </c>
      <c r="I272">
        <v>20</v>
      </c>
      <c r="J272">
        <v>9400</v>
      </c>
      <c r="K272">
        <v>7288.34</v>
      </c>
      <c r="L272">
        <v>2111.66</v>
      </c>
      <c r="M272" t="s">
        <v>63</v>
      </c>
      <c r="N272">
        <f t="shared" si="16"/>
        <v>6025452.5</v>
      </c>
      <c r="O272">
        <f t="shared" si="17"/>
        <v>1812921.4900000005</v>
      </c>
      <c r="P272">
        <f t="shared" si="18"/>
        <v>230</v>
      </c>
      <c r="Q272">
        <f t="shared" si="19"/>
        <v>120</v>
      </c>
    </row>
    <row r="273" spans="1:17" x14ac:dyDescent="0.25">
      <c r="A273" t="s">
        <v>457</v>
      </c>
      <c r="B273" s="3">
        <v>46141</v>
      </c>
      <c r="C273" t="s">
        <v>453</v>
      </c>
      <c r="D273" t="s">
        <v>33</v>
      </c>
      <c r="E273" t="s">
        <v>55</v>
      </c>
      <c r="F273" t="s">
        <v>132</v>
      </c>
      <c r="G273">
        <v>5</v>
      </c>
      <c r="H273">
        <v>6150</v>
      </c>
      <c r="I273">
        <v>0</v>
      </c>
      <c r="J273">
        <v>30750</v>
      </c>
      <c r="K273">
        <v>17723.54</v>
      </c>
      <c r="L273">
        <v>13026.46</v>
      </c>
      <c r="M273" t="s">
        <v>18</v>
      </c>
      <c r="N273">
        <f t="shared" si="16"/>
        <v>6016052.5</v>
      </c>
      <c r="O273">
        <f t="shared" si="17"/>
        <v>1810809.8300000003</v>
      </c>
      <c r="P273">
        <f t="shared" si="18"/>
        <v>229</v>
      </c>
      <c r="Q273">
        <f t="shared" si="19"/>
        <v>120</v>
      </c>
    </row>
    <row r="274" spans="1:17" x14ac:dyDescent="0.25">
      <c r="A274" t="s">
        <v>458</v>
      </c>
      <c r="B274" s="3">
        <v>46162</v>
      </c>
      <c r="C274" t="s">
        <v>312</v>
      </c>
      <c r="D274" t="s">
        <v>59</v>
      </c>
      <c r="E274" t="s">
        <v>28</v>
      </c>
      <c r="F274" t="s">
        <v>86</v>
      </c>
      <c r="G274">
        <v>4</v>
      </c>
      <c r="H274">
        <v>1750</v>
      </c>
      <c r="I274">
        <v>10</v>
      </c>
      <c r="J274">
        <v>6300</v>
      </c>
      <c r="K274">
        <v>3515.39</v>
      </c>
      <c r="L274">
        <v>2784.61</v>
      </c>
      <c r="M274" t="s">
        <v>24</v>
      </c>
      <c r="N274">
        <f t="shared" si="16"/>
        <v>5985302.5</v>
      </c>
      <c r="O274">
        <f t="shared" si="17"/>
        <v>1797783.3700000003</v>
      </c>
      <c r="P274">
        <f t="shared" si="18"/>
        <v>228</v>
      </c>
      <c r="Q274">
        <f t="shared" si="19"/>
        <v>120</v>
      </c>
    </row>
    <row r="275" spans="1:17" x14ac:dyDescent="0.25">
      <c r="A275" t="s">
        <v>459</v>
      </c>
      <c r="B275" s="3">
        <v>46361</v>
      </c>
      <c r="C275" t="s">
        <v>62</v>
      </c>
      <c r="D275" t="s">
        <v>15</v>
      </c>
      <c r="E275" t="s">
        <v>34</v>
      </c>
      <c r="F275" t="s">
        <v>60</v>
      </c>
      <c r="G275">
        <v>4</v>
      </c>
      <c r="H275">
        <v>3950</v>
      </c>
      <c r="I275">
        <v>5</v>
      </c>
      <c r="J275">
        <v>15010</v>
      </c>
      <c r="K275">
        <v>11010.1</v>
      </c>
      <c r="L275">
        <v>3999.9</v>
      </c>
      <c r="M275" t="s">
        <v>18</v>
      </c>
      <c r="N275">
        <f t="shared" si="16"/>
        <v>5979002.5</v>
      </c>
      <c r="O275">
        <f t="shared" si="17"/>
        <v>1794998.7600000005</v>
      </c>
      <c r="P275">
        <f t="shared" si="18"/>
        <v>227</v>
      </c>
      <c r="Q275">
        <f t="shared" si="19"/>
        <v>120</v>
      </c>
    </row>
    <row r="276" spans="1:17" x14ac:dyDescent="0.25">
      <c r="A276" t="s">
        <v>460</v>
      </c>
      <c r="B276" s="3">
        <v>46387</v>
      </c>
      <c r="C276" t="s">
        <v>118</v>
      </c>
      <c r="D276" t="s">
        <v>27</v>
      </c>
      <c r="E276" t="s">
        <v>34</v>
      </c>
      <c r="F276" t="s">
        <v>35</v>
      </c>
      <c r="G276">
        <v>1</v>
      </c>
      <c r="H276">
        <v>1050</v>
      </c>
      <c r="I276">
        <v>10</v>
      </c>
      <c r="J276">
        <v>945</v>
      </c>
      <c r="K276">
        <v>559.1</v>
      </c>
      <c r="L276">
        <v>385.9</v>
      </c>
      <c r="M276" t="s">
        <v>30</v>
      </c>
      <c r="N276">
        <f t="shared" si="16"/>
        <v>5963992.5</v>
      </c>
      <c r="O276">
        <f t="shared" si="17"/>
        <v>1790998.8600000006</v>
      </c>
      <c r="P276">
        <f t="shared" si="18"/>
        <v>226</v>
      </c>
      <c r="Q276">
        <f t="shared" si="19"/>
        <v>120</v>
      </c>
    </row>
    <row r="277" spans="1:17" x14ac:dyDescent="0.25">
      <c r="A277" t="s">
        <v>461</v>
      </c>
      <c r="B277" s="3">
        <v>46161</v>
      </c>
      <c r="C277" t="s">
        <v>220</v>
      </c>
      <c r="D277" t="s">
        <v>68</v>
      </c>
      <c r="E277" t="s">
        <v>34</v>
      </c>
      <c r="F277" t="s">
        <v>38</v>
      </c>
      <c r="G277">
        <v>1</v>
      </c>
      <c r="H277">
        <v>450</v>
      </c>
      <c r="I277">
        <v>10</v>
      </c>
      <c r="J277">
        <v>405</v>
      </c>
      <c r="K277">
        <v>271.38</v>
      </c>
      <c r="L277">
        <v>133.62</v>
      </c>
      <c r="M277" t="s">
        <v>46</v>
      </c>
      <c r="N277">
        <f t="shared" si="16"/>
        <v>5963047.5</v>
      </c>
      <c r="O277">
        <f t="shared" si="17"/>
        <v>1790612.9600000004</v>
      </c>
      <c r="P277">
        <f t="shared" si="18"/>
        <v>225</v>
      </c>
      <c r="Q277">
        <f t="shared" si="19"/>
        <v>119</v>
      </c>
    </row>
    <row r="278" spans="1:17" x14ac:dyDescent="0.25">
      <c r="A278" t="s">
        <v>462</v>
      </c>
      <c r="B278" s="3">
        <v>46075</v>
      </c>
      <c r="C278" t="s">
        <v>20</v>
      </c>
      <c r="D278" t="s">
        <v>15</v>
      </c>
      <c r="E278" t="s">
        <v>55</v>
      </c>
      <c r="F278" t="s">
        <v>56</v>
      </c>
      <c r="G278">
        <v>4</v>
      </c>
      <c r="H278">
        <v>9600</v>
      </c>
      <c r="I278">
        <v>20</v>
      </c>
      <c r="J278">
        <v>30720</v>
      </c>
      <c r="K278">
        <v>21146.39</v>
      </c>
      <c r="L278">
        <v>9573.61</v>
      </c>
      <c r="M278" t="s">
        <v>30</v>
      </c>
      <c r="N278">
        <f t="shared" si="16"/>
        <v>5962642.5</v>
      </c>
      <c r="O278">
        <f t="shared" si="17"/>
        <v>1790479.3400000005</v>
      </c>
      <c r="P278">
        <f t="shared" si="18"/>
        <v>224</v>
      </c>
      <c r="Q278">
        <f t="shared" si="19"/>
        <v>119</v>
      </c>
    </row>
    <row r="279" spans="1:17" x14ac:dyDescent="0.25">
      <c r="A279" t="s">
        <v>463</v>
      </c>
      <c r="B279" s="3">
        <v>46029</v>
      </c>
      <c r="C279" t="s">
        <v>40</v>
      </c>
      <c r="D279" t="s">
        <v>27</v>
      </c>
      <c r="E279" t="s">
        <v>28</v>
      </c>
      <c r="F279" t="s">
        <v>78</v>
      </c>
      <c r="G279">
        <v>5</v>
      </c>
      <c r="H279">
        <v>1350</v>
      </c>
      <c r="I279">
        <v>10</v>
      </c>
      <c r="J279">
        <v>6075</v>
      </c>
      <c r="K279">
        <v>4757.96</v>
      </c>
      <c r="L279">
        <v>1317.04</v>
      </c>
      <c r="M279" t="s">
        <v>63</v>
      </c>
      <c r="N279">
        <f t="shared" si="16"/>
        <v>5931922.5</v>
      </c>
      <c r="O279">
        <f t="shared" si="17"/>
        <v>1780905.7300000004</v>
      </c>
      <c r="P279">
        <f t="shared" si="18"/>
        <v>223</v>
      </c>
      <c r="Q279">
        <f t="shared" si="19"/>
        <v>119</v>
      </c>
    </row>
    <row r="280" spans="1:17" x14ac:dyDescent="0.25">
      <c r="A280" t="s">
        <v>464</v>
      </c>
      <c r="B280" s="3">
        <v>46109</v>
      </c>
      <c r="C280" t="s">
        <v>385</v>
      </c>
      <c r="D280" t="s">
        <v>44</v>
      </c>
      <c r="E280" t="s">
        <v>16</v>
      </c>
      <c r="F280" t="s">
        <v>240</v>
      </c>
      <c r="G280">
        <v>2</v>
      </c>
      <c r="H280">
        <v>69500</v>
      </c>
      <c r="I280">
        <v>5</v>
      </c>
      <c r="J280">
        <v>132050</v>
      </c>
      <c r="K280">
        <v>97061.41</v>
      </c>
      <c r="L280">
        <v>34988.589999999997</v>
      </c>
      <c r="M280" t="s">
        <v>30</v>
      </c>
      <c r="N280">
        <f t="shared" si="16"/>
        <v>5925847.5</v>
      </c>
      <c r="O280">
        <f t="shared" si="17"/>
        <v>1779588.6900000004</v>
      </c>
      <c r="P280">
        <f t="shared" si="18"/>
        <v>222</v>
      </c>
      <c r="Q280">
        <f t="shared" si="19"/>
        <v>118</v>
      </c>
    </row>
    <row r="281" spans="1:17" x14ac:dyDescent="0.25">
      <c r="A281" t="s">
        <v>465</v>
      </c>
      <c r="B281" s="3">
        <v>46238</v>
      </c>
      <c r="C281" t="s">
        <v>404</v>
      </c>
      <c r="D281" t="s">
        <v>59</v>
      </c>
      <c r="E281" t="s">
        <v>34</v>
      </c>
      <c r="F281" t="s">
        <v>69</v>
      </c>
      <c r="G281">
        <v>2</v>
      </c>
      <c r="H281">
        <v>900</v>
      </c>
      <c r="I281">
        <v>5</v>
      </c>
      <c r="J281">
        <v>1710</v>
      </c>
      <c r="K281">
        <v>1141.19</v>
      </c>
      <c r="L281">
        <v>568.80999999999995</v>
      </c>
      <c r="M281" t="s">
        <v>46</v>
      </c>
      <c r="N281">
        <f t="shared" si="16"/>
        <v>5793797.5</v>
      </c>
      <c r="O281">
        <f t="shared" si="17"/>
        <v>1744600.1000000003</v>
      </c>
      <c r="P281">
        <f t="shared" si="18"/>
        <v>221</v>
      </c>
      <c r="Q281">
        <f t="shared" si="19"/>
        <v>118</v>
      </c>
    </row>
    <row r="282" spans="1:17" x14ac:dyDescent="0.25">
      <c r="A282" t="s">
        <v>466</v>
      </c>
      <c r="B282" s="3">
        <v>46123</v>
      </c>
      <c r="C282" t="s">
        <v>185</v>
      </c>
      <c r="D282" t="s">
        <v>15</v>
      </c>
      <c r="E282" t="s">
        <v>34</v>
      </c>
      <c r="F282" t="s">
        <v>116</v>
      </c>
      <c r="G282">
        <v>2</v>
      </c>
      <c r="H282">
        <v>5500</v>
      </c>
      <c r="I282">
        <v>15</v>
      </c>
      <c r="J282">
        <v>9350</v>
      </c>
      <c r="K282">
        <v>6641.56</v>
      </c>
      <c r="L282">
        <v>2708.44</v>
      </c>
      <c r="M282" t="s">
        <v>24</v>
      </c>
      <c r="N282">
        <f t="shared" si="16"/>
        <v>5792087.5</v>
      </c>
      <c r="O282">
        <f t="shared" si="17"/>
        <v>1744031.2900000003</v>
      </c>
      <c r="P282">
        <f t="shared" si="18"/>
        <v>220</v>
      </c>
      <c r="Q282">
        <f t="shared" si="19"/>
        <v>118</v>
      </c>
    </row>
    <row r="283" spans="1:17" x14ac:dyDescent="0.25">
      <c r="A283" t="s">
        <v>467</v>
      </c>
      <c r="B283" s="3">
        <v>46191</v>
      </c>
      <c r="C283" t="s">
        <v>345</v>
      </c>
      <c r="D283" t="s">
        <v>33</v>
      </c>
      <c r="E283" t="s">
        <v>34</v>
      </c>
      <c r="F283" t="s">
        <v>38</v>
      </c>
      <c r="G283">
        <v>4</v>
      </c>
      <c r="H283">
        <v>3100</v>
      </c>
      <c r="I283">
        <v>20</v>
      </c>
      <c r="J283">
        <v>9920</v>
      </c>
      <c r="K283">
        <v>6473.5</v>
      </c>
      <c r="L283">
        <v>3446.5</v>
      </c>
      <c r="M283" t="s">
        <v>63</v>
      </c>
      <c r="N283">
        <f t="shared" si="16"/>
        <v>5782737.5</v>
      </c>
      <c r="O283">
        <f t="shared" si="17"/>
        <v>1741322.8500000003</v>
      </c>
      <c r="P283">
        <f t="shared" si="18"/>
        <v>219</v>
      </c>
      <c r="Q283">
        <f t="shared" si="19"/>
        <v>118</v>
      </c>
    </row>
    <row r="284" spans="1:17" x14ac:dyDescent="0.25">
      <c r="A284" t="s">
        <v>468</v>
      </c>
      <c r="B284" s="3">
        <v>46125</v>
      </c>
      <c r="C284" t="s">
        <v>393</v>
      </c>
      <c r="D284" t="s">
        <v>33</v>
      </c>
      <c r="E284" t="s">
        <v>28</v>
      </c>
      <c r="F284" t="s">
        <v>49</v>
      </c>
      <c r="G284">
        <v>3</v>
      </c>
      <c r="H284">
        <v>800</v>
      </c>
      <c r="I284">
        <v>20</v>
      </c>
      <c r="J284">
        <v>1920</v>
      </c>
      <c r="K284">
        <v>1547.07</v>
      </c>
      <c r="L284">
        <v>372.93</v>
      </c>
      <c r="M284" t="s">
        <v>24</v>
      </c>
      <c r="N284">
        <f t="shared" si="16"/>
        <v>5772817.5</v>
      </c>
      <c r="O284">
        <f t="shared" si="17"/>
        <v>1737876.3500000003</v>
      </c>
      <c r="P284">
        <f t="shared" si="18"/>
        <v>218</v>
      </c>
      <c r="Q284">
        <f t="shared" si="19"/>
        <v>117</v>
      </c>
    </row>
    <row r="285" spans="1:17" x14ac:dyDescent="0.25">
      <c r="A285" t="s">
        <v>469</v>
      </c>
      <c r="B285" s="3">
        <v>46147</v>
      </c>
      <c r="C285" t="s">
        <v>262</v>
      </c>
      <c r="D285" t="s">
        <v>27</v>
      </c>
      <c r="E285" t="s">
        <v>22</v>
      </c>
      <c r="F285" t="s">
        <v>83</v>
      </c>
      <c r="G285">
        <v>3</v>
      </c>
      <c r="H285">
        <v>3200</v>
      </c>
      <c r="I285">
        <v>15</v>
      </c>
      <c r="J285">
        <v>8160</v>
      </c>
      <c r="K285">
        <v>6620.18</v>
      </c>
      <c r="L285">
        <v>1539.82</v>
      </c>
      <c r="M285" t="s">
        <v>30</v>
      </c>
      <c r="N285">
        <f t="shared" si="16"/>
        <v>5770897.5</v>
      </c>
      <c r="O285">
        <f t="shared" si="17"/>
        <v>1737503.4200000004</v>
      </c>
      <c r="P285">
        <f t="shared" si="18"/>
        <v>217</v>
      </c>
      <c r="Q285">
        <f t="shared" si="19"/>
        <v>117</v>
      </c>
    </row>
    <row r="286" spans="1:17" x14ac:dyDescent="0.25">
      <c r="A286" t="s">
        <v>470</v>
      </c>
      <c r="B286" s="3">
        <v>46302</v>
      </c>
      <c r="C286" t="s">
        <v>363</v>
      </c>
      <c r="D286" t="s">
        <v>21</v>
      </c>
      <c r="E286" t="s">
        <v>22</v>
      </c>
      <c r="F286" t="s">
        <v>83</v>
      </c>
      <c r="G286">
        <v>1</v>
      </c>
      <c r="H286">
        <v>2500</v>
      </c>
      <c r="I286">
        <v>5</v>
      </c>
      <c r="J286">
        <v>2375</v>
      </c>
      <c r="K286">
        <v>1686.02</v>
      </c>
      <c r="L286">
        <v>688.98</v>
      </c>
      <c r="M286" t="s">
        <v>46</v>
      </c>
      <c r="N286">
        <f t="shared" si="16"/>
        <v>5762737.5</v>
      </c>
      <c r="O286">
        <f t="shared" si="17"/>
        <v>1735963.6000000003</v>
      </c>
      <c r="P286">
        <f t="shared" si="18"/>
        <v>216</v>
      </c>
      <c r="Q286">
        <f t="shared" si="19"/>
        <v>116</v>
      </c>
    </row>
    <row r="287" spans="1:17" x14ac:dyDescent="0.25">
      <c r="A287" t="s">
        <v>471</v>
      </c>
      <c r="B287" s="3">
        <v>46058</v>
      </c>
      <c r="C287" t="s">
        <v>472</v>
      </c>
      <c r="D287" t="s">
        <v>59</v>
      </c>
      <c r="E287" t="s">
        <v>22</v>
      </c>
      <c r="F287" t="s">
        <v>95</v>
      </c>
      <c r="G287">
        <v>4</v>
      </c>
      <c r="H287">
        <v>3450</v>
      </c>
      <c r="I287">
        <v>10</v>
      </c>
      <c r="J287">
        <v>12420</v>
      </c>
      <c r="K287">
        <v>9618.6200000000008</v>
      </c>
      <c r="L287">
        <v>2801.38</v>
      </c>
      <c r="M287" t="s">
        <v>24</v>
      </c>
      <c r="N287">
        <f t="shared" si="16"/>
        <v>5760362.5</v>
      </c>
      <c r="O287">
        <f t="shared" si="17"/>
        <v>1735274.6200000003</v>
      </c>
      <c r="P287">
        <f t="shared" si="18"/>
        <v>215</v>
      </c>
      <c r="Q287">
        <f t="shared" si="19"/>
        <v>115</v>
      </c>
    </row>
    <row r="288" spans="1:17" x14ac:dyDescent="0.25">
      <c r="A288" t="s">
        <v>473</v>
      </c>
      <c r="B288" s="3">
        <v>46216</v>
      </c>
      <c r="C288" t="s">
        <v>474</v>
      </c>
      <c r="D288" t="s">
        <v>59</v>
      </c>
      <c r="E288" t="s">
        <v>34</v>
      </c>
      <c r="F288" t="s">
        <v>35</v>
      </c>
      <c r="G288">
        <v>3</v>
      </c>
      <c r="H288">
        <v>5800</v>
      </c>
      <c r="I288">
        <v>5</v>
      </c>
      <c r="J288">
        <v>16530</v>
      </c>
      <c r="K288">
        <v>12283.67</v>
      </c>
      <c r="L288">
        <v>4246.33</v>
      </c>
      <c r="M288" t="s">
        <v>18</v>
      </c>
      <c r="N288">
        <f t="shared" si="16"/>
        <v>5747942.5</v>
      </c>
      <c r="O288">
        <f t="shared" si="17"/>
        <v>1732473.2400000005</v>
      </c>
      <c r="P288">
        <f t="shared" si="18"/>
        <v>214</v>
      </c>
      <c r="Q288">
        <f t="shared" si="19"/>
        <v>115</v>
      </c>
    </row>
    <row r="289" spans="1:17" x14ac:dyDescent="0.25">
      <c r="A289" t="s">
        <v>475</v>
      </c>
      <c r="B289" s="3">
        <v>46377</v>
      </c>
      <c r="C289" t="s">
        <v>143</v>
      </c>
      <c r="D289" t="s">
        <v>21</v>
      </c>
      <c r="E289" t="s">
        <v>22</v>
      </c>
      <c r="F289" t="s">
        <v>104</v>
      </c>
      <c r="G289">
        <v>4</v>
      </c>
      <c r="H289">
        <v>2400</v>
      </c>
      <c r="I289">
        <v>20</v>
      </c>
      <c r="J289">
        <v>7680</v>
      </c>
      <c r="K289">
        <v>6138.96</v>
      </c>
      <c r="L289">
        <v>1541.04</v>
      </c>
      <c r="M289" t="s">
        <v>46</v>
      </c>
      <c r="N289">
        <f t="shared" si="16"/>
        <v>5731412.5</v>
      </c>
      <c r="O289">
        <f t="shared" si="17"/>
        <v>1728226.9100000004</v>
      </c>
      <c r="P289">
        <f t="shared" si="18"/>
        <v>213</v>
      </c>
      <c r="Q289">
        <f t="shared" si="19"/>
        <v>115</v>
      </c>
    </row>
    <row r="290" spans="1:17" x14ac:dyDescent="0.25">
      <c r="A290" t="s">
        <v>476</v>
      </c>
      <c r="B290" s="3">
        <v>46150</v>
      </c>
      <c r="C290" t="s">
        <v>349</v>
      </c>
      <c r="D290" t="s">
        <v>68</v>
      </c>
      <c r="E290" t="s">
        <v>34</v>
      </c>
      <c r="F290" t="s">
        <v>60</v>
      </c>
      <c r="G290">
        <v>5</v>
      </c>
      <c r="H290">
        <v>5650</v>
      </c>
      <c r="I290">
        <v>0</v>
      </c>
      <c r="J290">
        <v>28250</v>
      </c>
      <c r="K290">
        <v>16371.72</v>
      </c>
      <c r="L290">
        <v>11878.28</v>
      </c>
      <c r="M290" t="s">
        <v>18</v>
      </c>
      <c r="N290">
        <f t="shared" si="16"/>
        <v>5723732.5</v>
      </c>
      <c r="O290">
        <f t="shared" si="17"/>
        <v>1726685.8700000003</v>
      </c>
      <c r="P290">
        <f t="shared" si="18"/>
        <v>212</v>
      </c>
      <c r="Q290">
        <f t="shared" si="19"/>
        <v>115</v>
      </c>
    </row>
    <row r="291" spans="1:17" x14ac:dyDescent="0.25">
      <c r="A291" t="s">
        <v>477</v>
      </c>
      <c r="B291" s="3">
        <v>46073</v>
      </c>
      <c r="C291" t="s">
        <v>190</v>
      </c>
      <c r="D291" t="s">
        <v>80</v>
      </c>
      <c r="E291" t="s">
        <v>16</v>
      </c>
      <c r="F291" t="s">
        <v>240</v>
      </c>
      <c r="G291">
        <v>4</v>
      </c>
      <c r="H291">
        <v>44650</v>
      </c>
      <c r="I291">
        <v>15</v>
      </c>
      <c r="J291">
        <v>151810</v>
      </c>
      <c r="K291">
        <v>87838.03</v>
      </c>
      <c r="L291">
        <v>63971.97</v>
      </c>
      <c r="M291" t="s">
        <v>18</v>
      </c>
      <c r="N291">
        <f t="shared" si="16"/>
        <v>5695482.5</v>
      </c>
      <c r="O291">
        <f t="shared" si="17"/>
        <v>1714807.5900000003</v>
      </c>
      <c r="P291">
        <f t="shared" si="18"/>
        <v>211</v>
      </c>
      <c r="Q291">
        <f t="shared" si="19"/>
        <v>115</v>
      </c>
    </row>
    <row r="292" spans="1:17" x14ac:dyDescent="0.25">
      <c r="A292" t="s">
        <v>478</v>
      </c>
      <c r="B292" s="3">
        <v>46214</v>
      </c>
      <c r="C292" t="s">
        <v>382</v>
      </c>
      <c r="D292" t="s">
        <v>59</v>
      </c>
      <c r="E292" t="s">
        <v>28</v>
      </c>
      <c r="F292" t="s">
        <v>86</v>
      </c>
      <c r="G292">
        <v>5</v>
      </c>
      <c r="H292">
        <v>1550</v>
      </c>
      <c r="I292">
        <v>20</v>
      </c>
      <c r="J292">
        <v>6200</v>
      </c>
      <c r="K292">
        <v>3780.01</v>
      </c>
      <c r="L292">
        <v>2419.9899999999998</v>
      </c>
      <c r="M292" t="s">
        <v>18</v>
      </c>
      <c r="N292">
        <f t="shared" si="16"/>
        <v>5543672.5</v>
      </c>
      <c r="O292">
        <f t="shared" si="17"/>
        <v>1650835.6200000003</v>
      </c>
      <c r="P292">
        <f t="shared" si="18"/>
        <v>210</v>
      </c>
      <c r="Q292">
        <f t="shared" si="19"/>
        <v>114</v>
      </c>
    </row>
    <row r="293" spans="1:17" x14ac:dyDescent="0.25">
      <c r="A293" t="s">
        <v>479</v>
      </c>
      <c r="B293" s="3">
        <v>46235</v>
      </c>
      <c r="C293" t="s">
        <v>317</v>
      </c>
      <c r="D293" t="s">
        <v>15</v>
      </c>
      <c r="E293" t="s">
        <v>28</v>
      </c>
      <c r="F293" t="s">
        <v>49</v>
      </c>
      <c r="G293">
        <v>3</v>
      </c>
      <c r="H293">
        <v>200</v>
      </c>
      <c r="I293">
        <v>15</v>
      </c>
      <c r="J293">
        <v>510</v>
      </c>
      <c r="K293">
        <v>294.89999999999998</v>
      </c>
      <c r="L293">
        <v>215.1</v>
      </c>
      <c r="M293" t="s">
        <v>24</v>
      </c>
      <c r="N293">
        <f t="shared" si="16"/>
        <v>5537472.5</v>
      </c>
      <c r="O293">
        <f t="shared" si="17"/>
        <v>1648415.6300000004</v>
      </c>
      <c r="P293">
        <f t="shared" si="18"/>
        <v>209</v>
      </c>
      <c r="Q293">
        <f t="shared" si="19"/>
        <v>113</v>
      </c>
    </row>
    <row r="294" spans="1:17" x14ac:dyDescent="0.25">
      <c r="A294" t="s">
        <v>480</v>
      </c>
      <c r="B294" s="3">
        <v>46201</v>
      </c>
      <c r="C294" t="s">
        <v>276</v>
      </c>
      <c r="D294" t="s">
        <v>15</v>
      </c>
      <c r="E294" t="s">
        <v>34</v>
      </c>
      <c r="F294" t="s">
        <v>116</v>
      </c>
      <c r="G294">
        <v>3</v>
      </c>
      <c r="H294">
        <v>4150</v>
      </c>
      <c r="I294">
        <v>5</v>
      </c>
      <c r="J294">
        <v>11827.5</v>
      </c>
      <c r="K294">
        <v>8169.27</v>
      </c>
      <c r="L294">
        <v>3658.23</v>
      </c>
      <c r="M294" t="s">
        <v>63</v>
      </c>
      <c r="N294">
        <f t="shared" si="16"/>
        <v>5536962.5</v>
      </c>
      <c r="O294">
        <f t="shared" si="17"/>
        <v>1648200.5300000003</v>
      </c>
      <c r="P294">
        <f t="shared" si="18"/>
        <v>208</v>
      </c>
      <c r="Q294">
        <f t="shared" si="19"/>
        <v>112</v>
      </c>
    </row>
    <row r="295" spans="1:17" x14ac:dyDescent="0.25">
      <c r="A295" t="s">
        <v>481</v>
      </c>
      <c r="B295" s="3">
        <v>46081</v>
      </c>
      <c r="C295" t="s">
        <v>269</v>
      </c>
      <c r="D295" t="s">
        <v>33</v>
      </c>
      <c r="E295" t="s">
        <v>22</v>
      </c>
      <c r="F295" t="s">
        <v>83</v>
      </c>
      <c r="G295">
        <v>1</v>
      </c>
      <c r="H295">
        <v>1450</v>
      </c>
      <c r="I295">
        <v>0</v>
      </c>
      <c r="J295">
        <v>1450</v>
      </c>
      <c r="K295">
        <v>1114.69</v>
      </c>
      <c r="L295">
        <v>335.31</v>
      </c>
      <c r="M295" t="s">
        <v>46</v>
      </c>
      <c r="N295">
        <f t="shared" si="16"/>
        <v>5525135</v>
      </c>
      <c r="O295">
        <f t="shared" si="17"/>
        <v>1644542.3000000003</v>
      </c>
      <c r="P295">
        <f t="shared" si="18"/>
        <v>207</v>
      </c>
      <c r="Q295">
        <f t="shared" si="19"/>
        <v>112</v>
      </c>
    </row>
    <row r="296" spans="1:17" x14ac:dyDescent="0.25">
      <c r="A296" t="s">
        <v>482</v>
      </c>
      <c r="B296" s="3">
        <v>46309</v>
      </c>
      <c r="C296" t="s">
        <v>155</v>
      </c>
      <c r="D296" t="s">
        <v>59</v>
      </c>
      <c r="E296" t="s">
        <v>55</v>
      </c>
      <c r="F296" t="s">
        <v>97</v>
      </c>
      <c r="G296">
        <v>5</v>
      </c>
      <c r="H296">
        <v>3350</v>
      </c>
      <c r="I296">
        <v>20</v>
      </c>
      <c r="J296">
        <v>13400</v>
      </c>
      <c r="K296">
        <v>7949.37</v>
      </c>
      <c r="L296">
        <v>5450.63</v>
      </c>
      <c r="M296" t="s">
        <v>24</v>
      </c>
      <c r="N296">
        <f t="shared" si="16"/>
        <v>5523685</v>
      </c>
      <c r="O296">
        <f t="shared" si="17"/>
        <v>1644206.9900000002</v>
      </c>
      <c r="P296">
        <f t="shared" si="18"/>
        <v>206</v>
      </c>
      <c r="Q296">
        <f t="shared" si="19"/>
        <v>112</v>
      </c>
    </row>
    <row r="297" spans="1:17" x14ac:dyDescent="0.25">
      <c r="A297" t="s">
        <v>483</v>
      </c>
      <c r="B297" s="3">
        <v>46337</v>
      </c>
      <c r="C297" t="s">
        <v>484</v>
      </c>
      <c r="D297" t="s">
        <v>59</v>
      </c>
      <c r="E297" t="s">
        <v>22</v>
      </c>
      <c r="F297" t="s">
        <v>95</v>
      </c>
      <c r="G297">
        <v>2</v>
      </c>
      <c r="H297">
        <v>2800</v>
      </c>
      <c r="I297">
        <v>15</v>
      </c>
      <c r="J297">
        <v>4760</v>
      </c>
      <c r="K297">
        <v>3126.4</v>
      </c>
      <c r="L297">
        <v>1633.6</v>
      </c>
      <c r="M297" t="s">
        <v>18</v>
      </c>
      <c r="N297">
        <f t="shared" si="16"/>
        <v>5510285</v>
      </c>
      <c r="O297">
        <f t="shared" si="17"/>
        <v>1638756.3600000003</v>
      </c>
      <c r="P297">
        <f t="shared" si="18"/>
        <v>205</v>
      </c>
      <c r="Q297">
        <f t="shared" si="19"/>
        <v>112</v>
      </c>
    </row>
    <row r="298" spans="1:17" x14ac:dyDescent="0.25">
      <c r="A298" t="s">
        <v>485</v>
      </c>
      <c r="B298" s="3">
        <v>46383</v>
      </c>
      <c r="C298" t="s">
        <v>82</v>
      </c>
      <c r="D298" t="s">
        <v>52</v>
      </c>
      <c r="E298" t="s">
        <v>22</v>
      </c>
      <c r="F298" t="s">
        <v>165</v>
      </c>
      <c r="G298">
        <v>1</v>
      </c>
      <c r="H298">
        <v>3100</v>
      </c>
      <c r="I298">
        <v>5</v>
      </c>
      <c r="J298">
        <v>2945</v>
      </c>
      <c r="K298">
        <v>1783.38</v>
      </c>
      <c r="L298">
        <v>1161.6199999999999</v>
      </c>
      <c r="M298" t="s">
        <v>46</v>
      </c>
      <c r="N298">
        <f t="shared" si="16"/>
        <v>5505525</v>
      </c>
      <c r="O298">
        <f t="shared" si="17"/>
        <v>1637122.7600000002</v>
      </c>
      <c r="P298">
        <f t="shared" si="18"/>
        <v>204</v>
      </c>
      <c r="Q298">
        <f t="shared" si="19"/>
        <v>112</v>
      </c>
    </row>
    <row r="299" spans="1:17" x14ac:dyDescent="0.25">
      <c r="A299" t="s">
        <v>486</v>
      </c>
      <c r="B299" s="3">
        <v>46157</v>
      </c>
      <c r="C299" t="s">
        <v>202</v>
      </c>
      <c r="D299" t="s">
        <v>21</v>
      </c>
      <c r="E299" t="s">
        <v>28</v>
      </c>
      <c r="F299" t="s">
        <v>49</v>
      </c>
      <c r="G299">
        <v>3</v>
      </c>
      <c r="H299">
        <v>800</v>
      </c>
      <c r="I299">
        <v>5</v>
      </c>
      <c r="J299">
        <v>2280</v>
      </c>
      <c r="K299">
        <v>1535.67</v>
      </c>
      <c r="L299">
        <v>744.33</v>
      </c>
      <c r="M299" t="s">
        <v>30</v>
      </c>
      <c r="N299">
        <f t="shared" si="16"/>
        <v>5502580</v>
      </c>
      <c r="O299">
        <f t="shared" si="17"/>
        <v>1635961.1400000004</v>
      </c>
      <c r="P299">
        <f t="shared" si="18"/>
        <v>203</v>
      </c>
      <c r="Q299">
        <f t="shared" si="19"/>
        <v>112</v>
      </c>
    </row>
    <row r="300" spans="1:17" x14ac:dyDescent="0.25">
      <c r="A300" t="s">
        <v>487</v>
      </c>
      <c r="B300" s="3">
        <v>46203</v>
      </c>
      <c r="C300" t="s">
        <v>185</v>
      </c>
      <c r="D300" t="s">
        <v>52</v>
      </c>
      <c r="E300" t="s">
        <v>28</v>
      </c>
      <c r="F300" t="s">
        <v>29</v>
      </c>
      <c r="G300">
        <v>5</v>
      </c>
      <c r="H300">
        <v>950</v>
      </c>
      <c r="I300">
        <v>20</v>
      </c>
      <c r="J300">
        <v>3800</v>
      </c>
      <c r="K300">
        <v>2207.1999999999998</v>
      </c>
      <c r="L300">
        <v>1592.8</v>
      </c>
      <c r="M300" t="s">
        <v>24</v>
      </c>
      <c r="N300">
        <f t="shared" si="16"/>
        <v>5500300</v>
      </c>
      <c r="O300">
        <f t="shared" si="17"/>
        <v>1635216.8100000005</v>
      </c>
      <c r="P300">
        <f t="shared" si="18"/>
        <v>202</v>
      </c>
      <c r="Q300">
        <f t="shared" si="19"/>
        <v>112</v>
      </c>
    </row>
    <row r="301" spans="1:17" x14ac:dyDescent="0.25">
      <c r="A301" t="s">
        <v>488</v>
      </c>
      <c r="B301" s="3">
        <v>46145</v>
      </c>
      <c r="C301" t="s">
        <v>489</v>
      </c>
      <c r="D301" t="s">
        <v>15</v>
      </c>
      <c r="E301" t="s">
        <v>34</v>
      </c>
      <c r="F301" t="s">
        <v>60</v>
      </c>
      <c r="G301">
        <v>5</v>
      </c>
      <c r="H301">
        <v>1100</v>
      </c>
      <c r="I301">
        <v>5</v>
      </c>
      <c r="J301">
        <v>5225</v>
      </c>
      <c r="K301">
        <v>3315.58</v>
      </c>
      <c r="L301">
        <v>1909.42</v>
      </c>
      <c r="M301" t="s">
        <v>24</v>
      </c>
      <c r="N301">
        <f t="shared" si="16"/>
        <v>5496500</v>
      </c>
      <c r="O301">
        <f t="shared" si="17"/>
        <v>1633624.0100000005</v>
      </c>
      <c r="P301">
        <f t="shared" si="18"/>
        <v>201</v>
      </c>
      <c r="Q301">
        <f t="shared" si="19"/>
        <v>112</v>
      </c>
    </row>
    <row r="302" spans="1:17" x14ac:dyDescent="0.25">
      <c r="A302" t="s">
        <v>490</v>
      </c>
      <c r="B302" s="3">
        <v>46317</v>
      </c>
      <c r="C302" t="s">
        <v>380</v>
      </c>
      <c r="D302" t="s">
        <v>27</v>
      </c>
      <c r="E302" t="s">
        <v>34</v>
      </c>
      <c r="F302" t="s">
        <v>35</v>
      </c>
      <c r="G302">
        <v>5</v>
      </c>
      <c r="H302">
        <v>3600</v>
      </c>
      <c r="I302">
        <v>15</v>
      </c>
      <c r="J302">
        <v>15300</v>
      </c>
      <c r="K302">
        <v>10878.84</v>
      </c>
      <c r="L302">
        <v>4421.16</v>
      </c>
      <c r="M302" t="s">
        <v>24</v>
      </c>
      <c r="N302">
        <f t="shared" si="16"/>
        <v>5491275</v>
      </c>
      <c r="O302">
        <f t="shared" si="17"/>
        <v>1631714.5900000005</v>
      </c>
      <c r="P302">
        <f t="shared" si="18"/>
        <v>200</v>
      </c>
      <c r="Q302">
        <f t="shared" si="19"/>
        <v>112</v>
      </c>
    </row>
    <row r="303" spans="1:17" x14ac:dyDescent="0.25">
      <c r="A303" t="s">
        <v>491</v>
      </c>
      <c r="B303" s="3">
        <v>46094</v>
      </c>
      <c r="C303" t="s">
        <v>103</v>
      </c>
      <c r="D303" t="s">
        <v>33</v>
      </c>
      <c r="E303" t="s">
        <v>22</v>
      </c>
      <c r="F303" t="s">
        <v>104</v>
      </c>
      <c r="G303">
        <v>2</v>
      </c>
      <c r="H303">
        <v>2450</v>
      </c>
      <c r="I303">
        <v>5</v>
      </c>
      <c r="J303">
        <v>4655</v>
      </c>
      <c r="K303">
        <v>3175.66</v>
      </c>
      <c r="L303">
        <v>1479.34</v>
      </c>
      <c r="M303" t="s">
        <v>63</v>
      </c>
      <c r="N303">
        <f t="shared" si="16"/>
        <v>5475975</v>
      </c>
      <c r="O303">
        <f t="shared" si="17"/>
        <v>1627293.4300000006</v>
      </c>
      <c r="P303">
        <f t="shared" si="18"/>
        <v>199</v>
      </c>
      <c r="Q303">
        <f t="shared" si="19"/>
        <v>112</v>
      </c>
    </row>
    <row r="304" spans="1:17" x14ac:dyDescent="0.25">
      <c r="A304" t="s">
        <v>492</v>
      </c>
      <c r="B304" s="3">
        <v>46219</v>
      </c>
      <c r="C304" t="s">
        <v>288</v>
      </c>
      <c r="D304" t="s">
        <v>21</v>
      </c>
      <c r="E304" t="s">
        <v>28</v>
      </c>
      <c r="F304" t="s">
        <v>78</v>
      </c>
      <c r="G304">
        <v>3</v>
      </c>
      <c r="H304">
        <v>150</v>
      </c>
      <c r="I304">
        <v>15</v>
      </c>
      <c r="J304">
        <v>382.5</v>
      </c>
      <c r="K304">
        <v>224.48</v>
      </c>
      <c r="L304">
        <v>158.02000000000001</v>
      </c>
      <c r="M304" t="s">
        <v>63</v>
      </c>
      <c r="N304">
        <f t="shared" si="16"/>
        <v>5471320</v>
      </c>
      <c r="O304">
        <f t="shared" si="17"/>
        <v>1625814.0900000005</v>
      </c>
      <c r="P304">
        <f t="shared" si="18"/>
        <v>198</v>
      </c>
      <c r="Q304">
        <f t="shared" si="19"/>
        <v>111</v>
      </c>
    </row>
    <row r="305" spans="1:17" x14ac:dyDescent="0.25">
      <c r="A305" t="s">
        <v>493</v>
      </c>
      <c r="B305" s="3">
        <v>46065</v>
      </c>
      <c r="C305" t="s">
        <v>169</v>
      </c>
      <c r="D305" t="s">
        <v>75</v>
      </c>
      <c r="E305" t="s">
        <v>22</v>
      </c>
      <c r="F305" t="s">
        <v>165</v>
      </c>
      <c r="G305">
        <v>4</v>
      </c>
      <c r="H305">
        <v>3100</v>
      </c>
      <c r="I305">
        <v>15</v>
      </c>
      <c r="J305">
        <v>10540</v>
      </c>
      <c r="K305">
        <v>7187.74</v>
      </c>
      <c r="L305">
        <v>3352.26</v>
      </c>
      <c r="M305" t="s">
        <v>24</v>
      </c>
      <c r="N305">
        <f t="shared" si="16"/>
        <v>5470937.5</v>
      </c>
      <c r="O305">
        <f t="shared" si="17"/>
        <v>1625656.0700000005</v>
      </c>
      <c r="P305">
        <f t="shared" si="18"/>
        <v>197</v>
      </c>
      <c r="Q305">
        <f t="shared" si="19"/>
        <v>111</v>
      </c>
    </row>
    <row r="306" spans="1:17" x14ac:dyDescent="0.25">
      <c r="A306" t="s">
        <v>494</v>
      </c>
      <c r="B306" s="3">
        <v>46257</v>
      </c>
      <c r="C306" t="s">
        <v>169</v>
      </c>
      <c r="D306" t="s">
        <v>59</v>
      </c>
      <c r="E306" t="s">
        <v>34</v>
      </c>
      <c r="F306" t="s">
        <v>38</v>
      </c>
      <c r="G306">
        <v>3</v>
      </c>
      <c r="H306">
        <v>2250</v>
      </c>
      <c r="I306">
        <v>20</v>
      </c>
      <c r="J306">
        <v>5400</v>
      </c>
      <c r="K306">
        <v>3390.88</v>
      </c>
      <c r="L306">
        <v>2009.12</v>
      </c>
      <c r="M306" t="s">
        <v>18</v>
      </c>
      <c r="N306">
        <f t="shared" si="16"/>
        <v>5460397.5</v>
      </c>
      <c r="O306">
        <f t="shared" si="17"/>
        <v>1622303.8100000005</v>
      </c>
      <c r="P306">
        <f t="shared" si="18"/>
        <v>196</v>
      </c>
      <c r="Q306">
        <f t="shared" si="19"/>
        <v>111</v>
      </c>
    </row>
    <row r="307" spans="1:17" x14ac:dyDescent="0.25">
      <c r="A307" t="s">
        <v>495</v>
      </c>
      <c r="B307" s="3">
        <v>46210</v>
      </c>
      <c r="C307" t="s">
        <v>71</v>
      </c>
      <c r="D307" t="s">
        <v>75</v>
      </c>
      <c r="E307" t="s">
        <v>28</v>
      </c>
      <c r="F307" t="s">
        <v>78</v>
      </c>
      <c r="G307">
        <v>5</v>
      </c>
      <c r="H307">
        <v>400</v>
      </c>
      <c r="I307">
        <v>10</v>
      </c>
      <c r="J307">
        <v>1800</v>
      </c>
      <c r="K307">
        <v>1366.7</v>
      </c>
      <c r="L307">
        <v>433.3</v>
      </c>
      <c r="M307" t="s">
        <v>63</v>
      </c>
      <c r="N307">
        <f t="shared" si="16"/>
        <v>5454997.5</v>
      </c>
      <c r="O307">
        <f t="shared" si="17"/>
        <v>1620294.6900000006</v>
      </c>
      <c r="P307">
        <f t="shared" si="18"/>
        <v>195</v>
      </c>
      <c r="Q307">
        <f t="shared" si="19"/>
        <v>111</v>
      </c>
    </row>
    <row r="308" spans="1:17" x14ac:dyDescent="0.25">
      <c r="A308" t="s">
        <v>496</v>
      </c>
      <c r="B308" s="3">
        <v>46039</v>
      </c>
      <c r="C308" t="s">
        <v>312</v>
      </c>
      <c r="D308" t="s">
        <v>44</v>
      </c>
      <c r="E308" t="s">
        <v>28</v>
      </c>
      <c r="F308" t="s">
        <v>49</v>
      </c>
      <c r="G308">
        <v>4</v>
      </c>
      <c r="H308">
        <v>350</v>
      </c>
      <c r="I308">
        <v>5</v>
      </c>
      <c r="J308">
        <v>1330</v>
      </c>
      <c r="K308">
        <v>838.41</v>
      </c>
      <c r="L308">
        <v>491.59</v>
      </c>
      <c r="M308" t="s">
        <v>30</v>
      </c>
      <c r="N308">
        <f t="shared" si="16"/>
        <v>5453197.5</v>
      </c>
      <c r="O308">
        <f t="shared" si="17"/>
        <v>1619861.3900000004</v>
      </c>
      <c r="P308">
        <f t="shared" si="18"/>
        <v>194</v>
      </c>
      <c r="Q308">
        <f t="shared" si="19"/>
        <v>110</v>
      </c>
    </row>
    <row r="309" spans="1:17" x14ac:dyDescent="0.25">
      <c r="A309" t="s">
        <v>497</v>
      </c>
      <c r="B309" s="3">
        <v>46324</v>
      </c>
      <c r="C309" t="s">
        <v>113</v>
      </c>
      <c r="D309" t="s">
        <v>52</v>
      </c>
      <c r="E309" t="s">
        <v>16</v>
      </c>
      <c r="F309" t="s">
        <v>45</v>
      </c>
      <c r="G309">
        <v>1</v>
      </c>
      <c r="H309">
        <v>32250</v>
      </c>
      <c r="I309">
        <v>5</v>
      </c>
      <c r="J309">
        <v>30637.5</v>
      </c>
      <c r="K309">
        <v>23556.86</v>
      </c>
      <c r="L309">
        <v>7080.64</v>
      </c>
      <c r="M309" t="s">
        <v>63</v>
      </c>
      <c r="N309">
        <f t="shared" si="16"/>
        <v>5451867.5</v>
      </c>
      <c r="O309">
        <f t="shared" si="17"/>
        <v>1619369.8000000005</v>
      </c>
      <c r="P309">
        <f t="shared" si="18"/>
        <v>193</v>
      </c>
      <c r="Q309">
        <f t="shared" si="19"/>
        <v>110</v>
      </c>
    </row>
    <row r="310" spans="1:17" x14ac:dyDescent="0.25">
      <c r="A310" t="s">
        <v>498</v>
      </c>
      <c r="B310" s="3">
        <v>46314</v>
      </c>
      <c r="C310" t="s">
        <v>113</v>
      </c>
      <c r="D310" t="s">
        <v>21</v>
      </c>
      <c r="E310" t="s">
        <v>55</v>
      </c>
      <c r="F310" t="s">
        <v>179</v>
      </c>
      <c r="G310">
        <v>2</v>
      </c>
      <c r="H310">
        <v>3900</v>
      </c>
      <c r="I310">
        <v>5</v>
      </c>
      <c r="J310">
        <v>7410</v>
      </c>
      <c r="K310">
        <v>5686.94</v>
      </c>
      <c r="L310">
        <v>1723.06</v>
      </c>
      <c r="M310" t="s">
        <v>30</v>
      </c>
      <c r="N310">
        <f t="shared" si="16"/>
        <v>5421230</v>
      </c>
      <c r="O310">
        <f t="shared" si="17"/>
        <v>1612289.1600000004</v>
      </c>
      <c r="P310">
        <f t="shared" si="18"/>
        <v>192</v>
      </c>
      <c r="Q310">
        <f t="shared" si="19"/>
        <v>110</v>
      </c>
    </row>
    <row r="311" spans="1:17" x14ac:dyDescent="0.25">
      <c r="A311" t="s">
        <v>499</v>
      </c>
      <c r="B311" s="3">
        <v>46159</v>
      </c>
      <c r="C311" t="s">
        <v>500</v>
      </c>
      <c r="D311" t="s">
        <v>15</v>
      </c>
      <c r="E311" t="s">
        <v>28</v>
      </c>
      <c r="F311" t="s">
        <v>86</v>
      </c>
      <c r="G311">
        <v>2</v>
      </c>
      <c r="H311">
        <v>800</v>
      </c>
      <c r="I311">
        <v>10</v>
      </c>
      <c r="J311">
        <v>1440</v>
      </c>
      <c r="K311">
        <v>904.49</v>
      </c>
      <c r="L311">
        <v>535.51</v>
      </c>
      <c r="M311" t="s">
        <v>24</v>
      </c>
      <c r="N311">
        <f t="shared" si="16"/>
        <v>5413820</v>
      </c>
      <c r="O311">
        <f t="shared" si="17"/>
        <v>1610566.1000000006</v>
      </c>
      <c r="P311">
        <f t="shared" si="18"/>
        <v>191</v>
      </c>
      <c r="Q311">
        <f t="shared" si="19"/>
        <v>109</v>
      </c>
    </row>
    <row r="312" spans="1:17" x14ac:dyDescent="0.25">
      <c r="A312" t="s">
        <v>501</v>
      </c>
      <c r="B312" s="3">
        <v>46090</v>
      </c>
      <c r="C312" t="s">
        <v>54</v>
      </c>
      <c r="D312" t="s">
        <v>68</v>
      </c>
      <c r="E312" t="s">
        <v>22</v>
      </c>
      <c r="F312" t="s">
        <v>23</v>
      </c>
      <c r="G312">
        <v>3</v>
      </c>
      <c r="H312">
        <v>2900</v>
      </c>
      <c r="I312">
        <v>5</v>
      </c>
      <c r="J312">
        <v>8265</v>
      </c>
      <c r="K312">
        <v>6111.02</v>
      </c>
      <c r="L312">
        <v>2153.98</v>
      </c>
      <c r="M312" t="s">
        <v>30</v>
      </c>
      <c r="N312">
        <f t="shared" si="16"/>
        <v>5412380</v>
      </c>
      <c r="O312">
        <f t="shared" si="17"/>
        <v>1610030.5900000005</v>
      </c>
      <c r="P312">
        <f t="shared" si="18"/>
        <v>190</v>
      </c>
      <c r="Q312">
        <f t="shared" si="19"/>
        <v>108</v>
      </c>
    </row>
    <row r="313" spans="1:17" x14ac:dyDescent="0.25">
      <c r="A313" t="s">
        <v>502</v>
      </c>
      <c r="B313" s="3">
        <v>46344</v>
      </c>
      <c r="C313" t="s">
        <v>160</v>
      </c>
      <c r="D313" t="s">
        <v>27</v>
      </c>
      <c r="E313" t="s">
        <v>55</v>
      </c>
      <c r="F313" t="s">
        <v>56</v>
      </c>
      <c r="G313">
        <v>4</v>
      </c>
      <c r="H313">
        <v>2850</v>
      </c>
      <c r="I313">
        <v>20</v>
      </c>
      <c r="J313">
        <v>9120</v>
      </c>
      <c r="K313">
        <v>6573.23</v>
      </c>
      <c r="L313">
        <v>2546.77</v>
      </c>
      <c r="M313" t="s">
        <v>63</v>
      </c>
      <c r="N313">
        <f t="shared" si="16"/>
        <v>5404115</v>
      </c>
      <c r="O313">
        <f t="shared" si="17"/>
        <v>1607876.6100000006</v>
      </c>
      <c r="P313">
        <f t="shared" si="18"/>
        <v>189</v>
      </c>
      <c r="Q313">
        <f t="shared" si="19"/>
        <v>108</v>
      </c>
    </row>
    <row r="314" spans="1:17" x14ac:dyDescent="0.25">
      <c r="A314" t="s">
        <v>503</v>
      </c>
      <c r="B314" s="3">
        <v>46211</v>
      </c>
      <c r="C314" t="s">
        <v>150</v>
      </c>
      <c r="D314" t="s">
        <v>59</v>
      </c>
      <c r="E314" t="s">
        <v>16</v>
      </c>
      <c r="F314" t="s">
        <v>17</v>
      </c>
      <c r="G314">
        <v>4</v>
      </c>
      <c r="H314">
        <v>68800</v>
      </c>
      <c r="I314">
        <v>10</v>
      </c>
      <c r="J314">
        <v>247680</v>
      </c>
      <c r="K314">
        <v>182681.33</v>
      </c>
      <c r="L314">
        <v>64998.67</v>
      </c>
      <c r="M314" t="s">
        <v>30</v>
      </c>
      <c r="N314">
        <f t="shared" si="16"/>
        <v>5394995</v>
      </c>
      <c r="O314">
        <f t="shared" si="17"/>
        <v>1605329.8400000005</v>
      </c>
      <c r="P314">
        <f t="shared" si="18"/>
        <v>188</v>
      </c>
      <c r="Q314">
        <f t="shared" si="19"/>
        <v>108</v>
      </c>
    </row>
    <row r="315" spans="1:17" x14ac:dyDescent="0.25">
      <c r="A315" t="s">
        <v>504</v>
      </c>
      <c r="B315" s="3">
        <v>46380</v>
      </c>
      <c r="C315" t="s">
        <v>32</v>
      </c>
      <c r="D315" t="s">
        <v>15</v>
      </c>
      <c r="E315" t="s">
        <v>28</v>
      </c>
      <c r="F315" t="s">
        <v>78</v>
      </c>
      <c r="G315">
        <v>1</v>
      </c>
      <c r="H315">
        <v>1650</v>
      </c>
      <c r="I315">
        <v>15</v>
      </c>
      <c r="J315">
        <v>1402.5</v>
      </c>
      <c r="K315">
        <v>1011.77</v>
      </c>
      <c r="L315">
        <v>390.73</v>
      </c>
      <c r="M315" t="s">
        <v>18</v>
      </c>
      <c r="N315">
        <f t="shared" si="16"/>
        <v>5147315</v>
      </c>
      <c r="O315">
        <f t="shared" si="17"/>
        <v>1540331.1700000004</v>
      </c>
      <c r="P315">
        <f t="shared" si="18"/>
        <v>187</v>
      </c>
      <c r="Q315">
        <f t="shared" si="19"/>
        <v>108</v>
      </c>
    </row>
    <row r="316" spans="1:17" x14ac:dyDescent="0.25">
      <c r="A316" t="s">
        <v>505</v>
      </c>
      <c r="B316" s="3">
        <v>46168</v>
      </c>
      <c r="C316" t="s">
        <v>167</v>
      </c>
      <c r="D316" t="s">
        <v>21</v>
      </c>
      <c r="E316" t="s">
        <v>22</v>
      </c>
      <c r="F316" t="s">
        <v>95</v>
      </c>
      <c r="G316">
        <v>4</v>
      </c>
      <c r="H316">
        <v>1050</v>
      </c>
      <c r="I316">
        <v>15</v>
      </c>
      <c r="J316">
        <v>3570</v>
      </c>
      <c r="K316">
        <v>2222.34</v>
      </c>
      <c r="L316">
        <v>1347.66</v>
      </c>
      <c r="M316" t="s">
        <v>18</v>
      </c>
      <c r="N316">
        <f t="shared" si="16"/>
        <v>5145912.5</v>
      </c>
      <c r="O316">
        <f t="shared" si="17"/>
        <v>1539940.4400000004</v>
      </c>
      <c r="P316">
        <f t="shared" si="18"/>
        <v>186</v>
      </c>
      <c r="Q316">
        <f t="shared" si="19"/>
        <v>108</v>
      </c>
    </row>
    <row r="317" spans="1:17" x14ac:dyDescent="0.25">
      <c r="A317" t="s">
        <v>506</v>
      </c>
      <c r="B317" s="3">
        <v>46343</v>
      </c>
      <c r="C317" t="s">
        <v>185</v>
      </c>
      <c r="D317" t="s">
        <v>75</v>
      </c>
      <c r="E317" t="s">
        <v>55</v>
      </c>
      <c r="F317" t="s">
        <v>179</v>
      </c>
      <c r="G317">
        <v>4</v>
      </c>
      <c r="H317">
        <v>6150</v>
      </c>
      <c r="I317">
        <v>0</v>
      </c>
      <c r="J317">
        <v>24600</v>
      </c>
      <c r="K317">
        <v>13835.15</v>
      </c>
      <c r="L317">
        <v>10764.85</v>
      </c>
      <c r="M317" t="s">
        <v>46</v>
      </c>
      <c r="N317">
        <f t="shared" si="16"/>
        <v>5142342.5</v>
      </c>
      <c r="O317">
        <f t="shared" si="17"/>
        <v>1538592.7800000003</v>
      </c>
      <c r="P317">
        <f t="shared" si="18"/>
        <v>185</v>
      </c>
      <c r="Q317">
        <f t="shared" si="19"/>
        <v>107</v>
      </c>
    </row>
    <row r="318" spans="1:17" x14ac:dyDescent="0.25">
      <c r="A318" t="s">
        <v>507</v>
      </c>
      <c r="B318" s="3">
        <v>46375</v>
      </c>
      <c r="C318" t="s">
        <v>272</v>
      </c>
      <c r="D318" t="s">
        <v>44</v>
      </c>
      <c r="E318" t="s">
        <v>55</v>
      </c>
      <c r="F318" t="s">
        <v>56</v>
      </c>
      <c r="G318">
        <v>4</v>
      </c>
      <c r="H318">
        <v>500</v>
      </c>
      <c r="I318">
        <v>15</v>
      </c>
      <c r="J318">
        <v>1700</v>
      </c>
      <c r="K318">
        <v>1027.8599999999999</v>
      </c>
      <c r="L318">
        <v>672.14</v>
      </c>
      <c r="M318" t="s">
        <v>24</v>
      </c>
      <c r="N318">
        <f t="shared" si="16"/>
        <v>5117742.5</v>
      </c>
      <c r="O318">
        <f t="shared" si="17"/>
        <v>1527827.9300000004</v>
      </c>
      <c r="P318">
        <f t="shared" si="18"/>
        <v>184</v>
      </c>
      <c r="Q318">
        <f t="shared" si="19"/>
        <v>107</v>
      </c>
    </row>
    <row r="319" spans="1:17" x14ac:dyDescent="0.25">
      <c r="A319" t="s">
        <v>508</v>
      </c>
      <c r="B319" s="3">
        <v>46355</v>
      </c>
      <c r="C319" t="s">
        <v>323</v>
      </c>
      <c r="D319" t="s">
        <v>75</v>
      </c>
      <c r="E319" t="s">
        <v>34</v>
      </c>
      <c r="F319" t="s">
        <v>38</v>
      </c>
      <c r="G319">
        <v>3</v>
      </c>
      <c r="H319">
        <v>2450</v>
      </c>
      <c r="I319">
        <v>0</v>
      </c>
      <c r="J319">
        <v>7350</v>
      </c>
      <c r="K319">
        <v>4780.42</v>
      </c>
      <c r="L319">
        <v>2569.58</v>
      </c>
      <c r="M319" t="s">
        <v>63</v>
      </c>
      <c r="N319">
        <f t="shared" si="16"/>
        <v>5116042.5</v>
      </c>
      <c r="O319">
        <f t="shared" si="17"/>
        <v>1527155.7900000005</v>
      </c>
      <c r="P319">
        <f t="shared" si="18"/>
        <v>183</v>
      </c>
      <c r="Q319">
        <f t="shared" si="19"/>
        <v>107</v>
      </c>
    </row>
    <row r="320" spans="1:17" x14ac:dyDescent="0.25">
      <c r="A320" t="s">
        <v>509</v>
      </c>
      <c r="B320" s="3">
        <v>46023</v>
      </c>
      <c r="C320" t="s">
        <v>51</v>
      </c>
      <c r="D320" t="s">
        <v>59</v>
      </c>
      <c r="E320" t="s">
        <v>34</v>
      </c>
      <c r="F320" t="s">
        <v>35</v>
      </c>
      <c r="G320">
        <v>4</v>
      </c>
      <c r="H320">
        <v>5750</v>
      </c>
      <c r="I320">
        <v>0</v>
      </c>
      <c r="J320">
        <v>23000</v>
      </c>
      <c r="K320">
        <v>17019.96</v>
      </c>
      <c r="L320">
        <v>5980.04</v>
      </c>
      <c r="M320" t="s">
        <v>46</v>
      </c>
      <c r="N320">
        <f t="shared" si="16"/>
        <v>5108692.5</v>
      </c>
      <c r="O320">
        <f t="shared" si="17"/>
        <v>1524586.2100000004</v>
      </c>
      <c r="P320">
        <f t="shared" si="18"/>
        <v>182</v>
      </c>
      <c r="Q320">
        <f t="shared" si="19"/>
        <v>107</v>
      </c>
    </row>
    <row r="321" spans="1:17" x14ac:dyDescent="0.25">
      <c r="A321" t="s">
        <v>510</v>
      </c>
      <c r="B321" s="3">
        <v>46379</v>
      </c>
      <c r="C321" t="s">
        <v>511</v>
      </c>
      <c r="D321" t="s">
        <v>15</v>
      </c>
      <c r="E321" t="s">
        <v>55</v>
      </c>
      <c r="F321" t="s">
        <v>179</v>
      </c>
      <c r="G321">
        <v>2</v>
      </c>
      <c r="H321">
        <v>9000</v>
      </c>
      <c r="I321">
        <v>15</v>
      </c>
      <c r="J321">
        <v>15300</v>
      </c>
      <c r="K321">
        <v>8453.36</v>
      </c>
      <c r="L321">
        <v>6846.64</v>
      </c>
      <c r="M321" t="s">
        <v>63</v>
      </c>
      <c r="N321">
        <f t="shared" si="16"/>
        <v>5085692.5</v>
      </c>
      <c r="O321">
        <f t="shared" si="17"/>
        <v>1518606.1700000004</v>
      </c>
      <c r="P321">
        <f t="shared" si="18"/>
        <v>181</v>
      </c>
      <c r="Q321">
        <f t="shared" si="19"/>
        <v>107</v>
      </c>
    </row>
    <row r="322" spans="1:17" x14ac:dyDescent="0.25">
      <c r="A322" t="s">
        <v>512</v>
      </c>
      <c r="B322" s="3">
        <v>46075</v>
      </c>
      <c r="C322" t="s">
        <v>220</v>
      </c>
      <c r="D322" t="s">
        <v>33</v>
      </c>
      <c r="E322" t="s">
        <v>55</v>
      </c>
      <c r="F322" t="s">
        <v>56</v>
      </c>
      <c r="G322">
        <v>1</v>
      </c>
      <c r="H322">
        <v>4250</v>
      </c>
      <c r="I322">
        <v>15</v>
      </c>
      <c r="J322">
        <v>3612.5</v>
      </c>
      <c r="K322">
        <v>2074.0100000000002</v>
      </c>
      <c r="L322">
        <v>1538.49</v>
      </c>
      <c r="M322" t="s">
        <v>30</v>
      </c>
      <c r="N322">
        <f t="shared" ref="N322:N385" si="20">SUM(J322:J821)</f>
        <v>5070392.5</v>
      </c>
      <c r="O322">
        <f t="shared" ref="O322:O385" si="21">SUM(L322:L821)</f>
        <v>1511759.5300000005</v>
      </c>
      <c r="P322">
        <f t="shared" ref="P322:P385" si="22">COUNTA(A322:A821)</f>
        <v>180</v>
      </c>
      <c r="Q322">
        <f t="shared" ref="Q322:Q385" si="23">COUNTA(_xlfn.UNIQUE(C322:C821))</f>
        <v>107</v>
      </c>
    </row>
    <row r="323" spans="1:17" x14ac:dyDescent="0.25">
      <c r="A323" t="s">
        <v>513</v>
      </c>
      <c r="B323" s="3">
        <v>46311</v>
      </c>
      <c r="C323" t="s">
        <v>111</v>
      </c>
      <c r="D323" t="s">
        <v>52</v>
      </c>
      <c r="E323" t="s">
        <v>34</v>
      </c>
      <c r="F323" t="s">
        <v>35</v>
      </c>
      <c r="G323">
        <v>4</v>
      </c>
      <c r="H323">
        <v>1500</v>
      </c>
      <c r="I323">
        <v>5</v>
      </c>
      <c r="J323">
        <v>5700</v>
      </c>
      <c r="K323">
        <v>3240.29</v>
      </c>
      <c r="L323">
        <v>2459.71</v>
      </c>
      <c r="M323" t="s">
        <v>24</v>
      </c>
      <c r="N323">
        <f t="shared" si="20"/>
        <v>5066780</v>
      </c>
      <c r="O323">
        <f t="shared" si="21"/>
        <v>1510221.0400000005</v>
      </c>
      <c r="P323">
        <f t="shared" si="22"/>
        <v>179</v>
      </c>
      <c r="Q323">
        <f t="shared" si="23"/>
        <v>107</v>
      </c>
    </row>
    <row r="324" spans="1:17" x14ac:dyDescent="0.25">
      <c r="A324" t="s">
        <v>514</v>
      </c>
      <c r="B324" s="3">
        <v>46338</v>
      </c>
      <c r="C324" t="s">
        <v>225</v>
      </c>
      <c r="D324" t="s">
        <v>80</v>
      </c>
      <c r="E324" t="s">
        <v>22</v>
      </c>
      <c r="F324" t="s">
        <v>83</v>
      </c>
      <c r="G324">
        <v>2</v>
      </c>
      <c r="H324">
        <v>2750</v>
      </c>
      <c r="I324">
        <v>5</v>
      </c>
      <c r="J324">
        <v>5225</v>
      </c>
      <c r="K324">
        <v>4171.49</v>
      </c>
      <c r="L324">
        <v>1053.51</v>
      </c>
      <c r="M324" t="s">
        <v>46</v>
      </c>
      <c r="N324">
        <f t="shared" si="20"/>
        <v>5061080</v>
      </c>
      <c r="O324">
        <f t="shared" si="21"/>
        <v>1507761.3300000003</v>
      </c>
      <c r="P324">
        <f t="shared" si="22"/>
        <v>178</v>
      </c>
      <c r="Q324">
        <f t="shared" si="23"/>
        <v>107</v>
      </c>
    </row>
    <row r="325" spans="1:17" x14ac:dyDescent="0.25">
      <c r="A325" t="s">
        <v>515</v>
      </c>
      <c r="B325" s="3">
        <v>46184</v>
      </c>
      <c r="C325" t="s">
        <v>385</v>
      </c>
      <c r="D325" t="s">
        <v>80</v>
      </c>
      <c r="E325" t="s">
        <v>16</v>
      </c>
      <c r="F325" t="s">
        <v>107</v>
      </c>
      <c r="G325">
        <v>1</v>
      </c>
      <c r="H325">
        <v>51550</v>
      </c>
      <c r="I325">
        <v>10</v>
      </c>
      <c r="J325">
        <v>46395</v>
      </c>
      <c r="K325">
        <v>37583.53</v>
      </c>
      <c r="L325">
        <v>8811.4699999999993</v>
      </c>
      <c r="M325" t="s">
        <v>30</v>
      </c>
      <c r="N325">
        <f t="shared" si="20"/>
        <v>5055855</v>
      </c>
      <c r="O325">
        <f t="shared" si="21"/>
        <v>1506707.8200000005</v>
      </c>
      <c r="P325">
        <f t="shared" si="22"/>
        <v>177</v>
      </c>
      <c r="Q325">
        <f t="shared" si="23"/>
        <v>106</v>
      </c>
    </row>
    <row r="326" spans="1:17" x14ac:dyDescent="0.25">
      <c r="A326" t="s">
        <v>516</v>
      </c>
      <c r="B326" s="3">
        <v>46360</v>
      </c>
      <c r="C326" t="s">
        <v>200</v>
      </c>
      <c r="D326" t="s">
        <v>80</v>
      </c>
      <c r="E326" t="s">
        <v>16</v>
      </c>
      <c r="F326" t="s">
        <v>107</v>
      </c>
      <c r="G326">
        <v>5</v>
      </c>
      <c r="H326">
        <v>38550</v>
      </c>
      <c r="I326">
        <v>0</v>
      </c>
      <c r="J326">
        <v>192750</v>
      </c>
      <c r="K326">
        <v>150138.92000000001</v>
      </c>
      <c r="L326">
        <v>42611.08</v>
      </c>
      <c r="M326" t="s">
        <v>18</v>
      </c>
      <c r="N326">
        <f t="shared" si="20"/>
        <v>5009460</v>
      </c>
      <c r="O326">
        <f t="shared" si="21"/>
        <v>1497896.3500000003</v>
      </c>
      <c r="P326">
        <f t="shared" si="22"/>
        <v>176</v>
      </c>
      <c r="Q326">
        <f t="shared" si="23"/>
        <v>106</v>
      </c>
    </row>
    <row r="327" spans="1:17" x14ac:dyDescent="0.25">
      <c r="A327" t="s">
        <v>517</v>
      </c>
      <c r="B327" s="3">
        <v>46050</v>
      </c>
      <c r="C327" t="s">
        <v>74</v>
      </c>
      <c r="D327" t="s">
        <v>59</v>
      </c>
      <c r="E327" t="s">
        <v>28</v>
      </c>
      <c r="F327" t="s">
        <v>86</v>
      </c>
      <c r="G327">
        <v>2</v>
      </c>
      <c r="H327">
        <v>1700</v>
      </c>
      <c r="I327">
        <v>15</v>
      </c>
      <c r="J327">
        <v>2890</v>
      </c>
      <c r="K327">
        <v>1820.11</v>
      </c>
      <c r="L327">
        <v>1069.8900000000001</v>
      </c>
      <c r="M327" t="s">
        <v>63</v>
      </c>
      <c r="N327">
        <f t="shared" si="20"/>
        <v>4816710</v>
      </c>
      <c r="O327">
        <f t="shared" si="21"/>
        <v>1455285.2700000005</v>
      </c>
      <c r="P327">
        <f t="shared" si="22"/>
        <v>175</v>
      </c>
      <c r="Q327">
        <f t="shared" si="23"/>
        <v>106</v>
      </c>
    </row>
    <row r="328" spans="1:17" x14ac:dyDescent="0.25">
      <c r="A328" t="s">
        <v>518</v>
      </c>
      <c r="B328" s="3">
        <v>46029</v>
      </c>
      <c r="C328" t="s">
        <v>519</v>
      </c>
      <c r="D328" t="s">
        <v>33</v>
      </c>
      <c r="E328" t="s">
        <v>16</v>
      </c>
      <c r="F328" t="s">
        <v>107</v>
      </c>
      <c r="G328">
        <v>4</v>
      </c>
      <c r="H328">
        <v>10500</v>
      </c>
      <c r="I328">
        <v>20</v>
      </c>
      <c r="J328">
        <v>33600</v>
      </c>
      <c r="K328">
        <v>26542.51</v>
      </c>
      <c r="L328">
        <v>7057.49</v>
      </c>
      <c r="M328" t="s">
        <v>24</v>
      </c>
      <c r="N328">
        <f t="shared" si="20"/>
        <v>4813820</v>
      </c>
      <c r="O328">
        <f t="shared" si="21"/>
        <v>1454215.3800000004</v>
      </c>
      <c r="P328">
        <f t="shared" si="22"/>
        <v>174</v>
      </c>
      <c r="Q328">
        <f t="shared" si="23"/>
        <v>106</v>
      </c>
    </row>
    <row r="329" spans="1:17" x14ac:dyDescent="0.25">
      <c r="A329" t="s">
        <v>520</v>
      </c>
      <c r="B329" s="3">
        <v>46264</v>
      </c>
      <c r="C329" t="s">
        <v>474</v>
      </c>
      <c r="D329" t="s">
        <v>75</v>
      </c>
      <c r="E329" t="s">
        <v>22</v>
      </c>
      <c r="F329" t="s">
        <v>104</v>
      </c>
      <c r="G329">
        <v>4</v>
      </c>
      <c r="H329">
        <v>1700</v>
      </c>
      <c r="I329">
        <v>20</v>
      </c>
      <c r="J329">
        <v>5440</v>
      </c>
      <c r="K329">
        <v>3995.11</v>
      </c>
      <c r="L329">
        <v>1444.89</v>
      </c>
      <c r="M329" t="s">
        <v>18</v>
      </c>
      <c r="N329">
        <f t="shared" si="20"/>
        <v>4780220</v>
      </c>
      <c r="O329">
        <f t="shared" si="21"/>
        <v>1447157.8900000006</v>
      </c>
      <c r="P329">
        <f t="shared" si="22"/>
        <v>173</v>
      </c>
      <c r="Q329">
        <f t="shared" si="23"/>
        <v>105</v>
      </c>
    </row>
    <row r="330" spans="1:17" x14ac:dyDescent="0.25">
      <c r="A330" t="s">
        <v>521</v>
      </c>
      <c r="B330" s="3">
        <v>46226</v>
      </c>
      <c r="C330" t="s">
        <v>406</v>
      </c>
      <c r="D330" t="s">
        <v>44</v>
      </c>
      <c r="E330" t="s">
        <v>16</v>
      </c>
      <c r="F330" t="s">
        <v>17</v>
      </c>
      <c r="G330">
        <v>3</v>
      </c>
      <c r="H330">
        <v>29500</v>
      </c>
      <c r="I330">
        <v>0</v>
      </c>
      <c r="J330">
        <v>88500</v>
      </c>
      <c r="K330">
        <v>70720.03</v>
      </c>
      <c r="L330">
        <v>17779.97</v>
      </c>
      <c r="M330" t="s">
        <v>18</v>
      </c>
      <c r="N330">
        <f t="shared" si="20"/>
        <v>4774780</v>
      </c>
      <c r="O330">
        <f t="shared" si="21"/>
        <v>1445713.0000000007</v>
      </c>
      <c r="P330">
        <f t="shared" si="22"/>
        <v>172</v>
      </c>
      <c r="Q330">
        <f t="shared" si="23"/>
        <v>105</v>
      </c>
    </row>
    <row r="331" spans="1:17" x14ac:dyDescent="0.25">
      <c r="A331" t="s">
        <v>522</v>
      </c>
      <c r="B331" s="3">
        <v>46101</v>
      </c>
      <c r="C331" t="s">
        <v>131</v>
      </c>
      <c r="D331" t="s">
        <v>15</v>
      </c>
      <c r="E331" t="s">
        <v>22</v>
      </c>
      <c r="F331" t="s">
        <v>165</v>
      </c>
      <c r="G331">
        <v>4</v>
      </c>
      <c r="H331">
        <v>550</v>
      </c>
      <c r="I331">
        <v>20</v>
      </c>
      <c r="J331">
        <v>1760</v>
      </c>
      <c r="K331">
        <v>1223.49</v>
      </c>
      <c r="L331">
        <v>536.51</v>
      </c>
      <c r="M331" t="s">
        <v>30</v>
      </c>
      <c r="N331">
        <f t="shared" si="20"/>
        <v>4686280</v>
      </c>
      <c r="O331">
        <f t="shared" si="21"/>
        <v>1427933.0300000005</v>
      </c>
      <c r="P331">
        <f t="shared" si="22"/>
        <v>171</v>
      </c>
      <c r="Q331">
        <f t="shared" si="23"/>
        <v>105</v>
      </c>
    </row>
    <row r="332" spans="1:17" x14ac:dyDescent="0.25">
      <c r="A332" t="s">
        <v>523</v>
      </c>
      <c r="B332" s="3">
        <v>46323</v>
      </c>
      <c r="C332" t="s">
        <v>82</v>
      </c>
      <c r="D332" t="s">
        <v>44</v>
      </c>
      <c r="E332" t="s">
        <v>16</v>
      </c>
      <c r="F332" t="s">
        <v>240</v>
      </c>
      <c r="G332">
        <v>2</v>
      </c>
      <c r="H332">
        <v>21550</v>
      </c>
      <c r="I332">
        <v>20</v>
      </c>
      <c r="J332">
        <v>34480</v>
      </c>
      <c r="K332">
        <v>22005.91</v>
      </c>
      <c r="L332">
        <v>12474.09</v>
      </c>
      <c r="M332" t="s">
        <v>63</v>
      </c>
      <c r="N332">
        <f t="shared" si="20"/>
        <v>4684520</v>
      </c>
      <c r="O332">
        <f t="shared" si="21"/>
        <v>1427396.5200000005</v>
      </c>
      <c r="P332">
        <f t="shared" si="22"/>
        <v>170</v>
      </c>
      <c r="Q332">
        <f t="shared" si="23"/>
        <v>105</v>
      </c>
    </row>
    <row r="333" spans="1:17" x14ac:dyDescent="0.25">
      <c r="A333" t="s">
        <v>524</v>
      </c>
      <c r="B333" s="3">
        <v>46336</v>
      </c>
      <c r="C333" t="s">
        <v>101</v>
      </c>
      <c r="D333" t="s">
        <v>44</v>
      </c>
      <c r="E333" t="s">
        <v>55</v>
      </c>
      <c r="F333" t="s">
        <v>132</v>
      </c>
      <c r="G333">
        <v>2</v>
      </c>
      <c r="H333">
        <v>1900</v>
      </c>
      <c r="I333">
        <v>15</v>
      </c>
      <c r="J333">
        <v>3230</v>
      </c>
      <c r="K333">
        <v>1877.65</v>
      </c>
      <c r="L333">
        <v>1352.35</v>
      </c>
      <c r="M333" t="s">
        <v>24</v>
      </c>
      <c r="N333">
        <f t="shared" si="20"/>
        <v>4650040</v>
      </c>
      <c r="O333">
        <f t="shared" si="21"/>
        <v>1414922.4300000006</v>
      </c>
      <c r="P333">
        <f t="shared" si="22"/>
        <v>169</v>
      </c>
      <c r="Q333">
        <f t="shared" si="23"/>
        <v>105</v>
      </c>
    </row>
    <row r="334" spans="1:17" x14ac:dyDescent="0.25">
      <c r="A334" t="s">
        <v>525</v>
      </c>
      <c r="B334" s="3">
        <v>46200</v>
      </c>
      <c r="C334" t="s">
        <v>157</v>
      </c>
      <c r="D334" t="s">
        <v>21</v>
      </c>
      <c r="E334" t="s">
        <v>16</v>
      </c>
      <c r="F334" t="s">
        <v>17</v>
      </c>
      <c r="G334">
        <v>2</v>
      </c>
      <c r="H334">
        <v>2700</v>
      </c>
      <c r="I334">
        <v>5</v>
      </c>
      <c r="J334">
        <v>5130</v>
      </c>
      <c r="K334">
        <v>3509.08</v>
      </c>
      <c r="L334">
        <v>1620.92</v>
      </c>
      <c r="M334" t="s">
        <v>30</v>
      </c>
      <c r="N334">
        <f t="shared" si="20"/>
        <v>4646810</v>
      </c>
      <c r="O334">
        <f t="shared" si="21"/>
        <v>1413570.0800000005</v>
      </c>
      <c r="P334">
        <f t="shared" si="22"/>
        <v>168</v>
      </c>
      <c r="Q334">
        <f t="shared" si="23"/>
        <v>105</v>
      </c>
    </row>
    <row r="335" spans="1:17" x14ac:dyDescent="0.25">
      <c r="A335" t="s">
        <v>526</v>
      </c>
      <c r="B335" s="3">
        <v>46038</v>
      </c>
      <c r="C335" t="s">
        <v>527</v>
      </c>
      <c r="D335" t="s">
        <v>27</v>
      </c>
      <c r="E335" t="s">
        <v>55</v>
      </c>
      <c r="F335" t="s">
        <v>141</v>
      </c>
      <c r="G335">
        <v>2</v>
      </c>
      <c r="H335">
        <v>4900</v>
      </c>
      <c r="I335">
        <v>0</v>
      </c>
      <c r="J335">
        <v>9800</v>
      </c>
      <c r="K335">
        <v>7431.2</v>
      </c>
      <c r="L335">
        <v>2368.8000000000002</v>
      </c>
      <c r="M335" t="s">
        <v>30</v>
      </c>
      <c r="N335">
        <f t="shared" si="20"/>
        <v>4641680</v>
      </c>
      <c r="O335">
        <f t="shared" si="21"/>
        <v>1411949.1600000006</v>
      </c>
      <c r="P335">
        <f t="shared" si="22"/>
        <v>167</v>
      </c>
      <c r="Q335">
        <f t="shared" si="23"/>
        <v>104</v>
      </c>
    </row>
    <row r="336" spans="1:17" x14ac:dyDescent="0.25">
      <c r="A336" t="s">
        <v>528</v>
      </c>
      <c r="B336" s="3">
        <v>46277</v>
      </c>
      <c r="C336" t="s">
        <v>150</v>
      </c>
      <c r="D336" t="s">
        <v>21</v>
      </c>
      <c r="E336" t="s">
        <v>28</v>
      </c>
      <c r="F336" t="s">
        <v>78</v>
      </c>
      <c r="G336">
        <v>3</v>
      </c>
      <c r="H336">
        <v>1600</v>
      </c>
      <c r="I336">
        <v>20</v>
      </c>
      <c r="J336">
        <v>3840</v>
      </c>
      <c r="K336">
        <v>2762.63</v>
      </c>
      <c r="L336">
        <v>1077.3699999999999</v>
      </c>
      <c r="M336" t="s">
        <v>30</v>
      </c>
      <c r="N336">
        <f t="shared" si="20"/>
        <v>4631880</v>
      </c>
      <c r="O336">
        <f t="shared" si="21"/>
        <v>1409580.3600000006</v>
      </c>
      <c r="P336">
        <f t="shared" si="22"/>
        <v>166</v>
      </c>
      <c r="Q336">
        <f t="shared" si="23"/>
        <v>104</v>
      </c>
    </row>
    <row r="337" spans="1:17" x14ac:dyDescent="0.25">
      <c r="A337" t="s">
        <v>529</v>
      </c>
      <c r="B337" s="3">
        <v>46075</v>
      </c>
      <c r="C337" t="s">
        <v>530</v>
      </c>
      <c r="D337" t="s">
        <v>15</v>
      </c>
      <c r="E337" t="s">
        <v>16</v>
      </c>
      <c r="F337" t="s">
        <v>45</v>
      </c>
      <c r="G337">
        <v>5</v>
      </c>
      <c r="H337">
        <v>23050</v>
      </c>
      <c r="I337">
        <v>10</v>
      </c>
      <c r="J337">
        <v>103725</v>
      </c>
      <c r="K337">
        <v>61454.33</v>
      </c>
      <c r="L337">
        <v>42270.67</v>
      </c>
      <c r="M337" t="s">
        <v>24</v>
      </c>
      <c r="N337">
        <f t="shared" si="20"/>
        <v>4628040</v>
      </c>
      <c r="O337">
        <f t="shared" si="21"/>
        <v>1408502.9900000007</v>
      </c>
      <c r="P337">
        <f t="shared" si="22"/>
        <v>165</v>
      </c>
      <c r="Q337">
        <f t="shared" si="23"/>
        <v>103</v>
      </c>
    </row>
    <row r="338" spans="1:17" x14ac:dyDescent="0.25">
      <c r="A338" t="s">
        <v>531</v>
      </c>
      <c r="B338" s="3">
        <v>46209</v>
      </c>
      <c r="C338" t="s">
        <v>380</v>
      </c>
      <c r="D338" t="s">
        <v>68</v>
      </c>
      <c r="E338" t="s">
        <v>28</v>
      </c>
      <c r="F338" t="s">
        <v>78</v>
      </c>
      <c r="G338">
        <v>1</v>
      </c>
      <c r="H338">
        <v>200</v>
      </c>
      <c r="I338">
        <v>5</v>
      </c>
      <c r="J338">
        <v>190</v>
      </c>
      <c r="K338">
        <v>106.86</v>
      </c>
      <c r="L338">
        <v>83.14</v>
      </c>
      <c r="M338" t="s">
        <v>24</v>
      </c>
      <c r="N338">
        <f t="shared" si="20"/>
        <v>4524315</v>
      </c>
      <c r="O338">
        <f t="shared" si="21"/>
        <v>1366232.3200000005</v>
      </c>
      <c r="P338">
        <f t="shared" si="22"/>
        <v>164</v>
      </c>
      <c r="Q338">
        <f t="shared" si="23"/>
        <v>103</v>
      </c>
    </row>
    <row r="339" spans="1:17" x14ac:dyDescent="0.25">
      <c r="A339" t="s">
        <v>532</v>
      </c>
      <c r="B339" s="3">
        <v>46186</v>
      </c>
      <c r="C339" t="s">
        <v>48</v>
      </c>
      <c r="D339" t="s">
        <v>15</v>
      </c>
      <c r="E339" t="s">
        <v>16</v>
      </c>
      <c r="F339" t="s">
        <v>240</v>
      </c>
      <c r="G339">
        <v>4</v>
      </c>
      <c r="H339">
        <v>30650</v>
      </c>
      <c r="I339">
        <v>10</v>
      </c>
      <c r="J339">
        <v>110340</v>
      </c>
      <c r="K339">
        <v>68083.210000000006</v>
      </c>
      <c r="L339">
        <v>42256.79</v>
      </c>
      <c r="M339" t="s">
        <v>18</v>
      </c>
      <c r="N339">
        <f t="shared" si="20"/>
        <v>4524125</v>
      </c>
      <c r="O339">
        <f t="shared" si="21"/>
        <v>1366149.1800000004</v>
      </c>
      <c r="P339">
        <f t="shared" si="22"/>
        <v>163</v>
      </c>
      <c r="Q339">
        <f t="shared" si="23"/>
        <v>103</v>
      </c>
    </row>
    <row r="340" spans="1:17" x14ac:dyDescent="0.25">
      <c r="A340" t="s">
        <v>533</v>
      </c>
      <c r="B340" s="3">
        <v>46287</v>
      </c>
      <c r="C340" t="s">
        <v>236</v>
      </c>
      <c r="D340" t="s">
        <v>27</v>
      </c>
      <c r="E340" t="s">
        <v>34</v>
      </c>
      <c r="F340" t="s">
        <v>38</v>
      </c>
      <c r="G340">
        <v>5</v>
      </c>
      <c r="H340">
        <v>5900</v>
      </c>
      <c r="I340">
        <v>0</v>
      </c>
      <c r="J340">
        <v>29500</v>
      </c>
      <c r="K340">
        <v>17653.48</v>
      </c>
      <c r="L340">
        <v>11846.52</v>
      </c>
      <c r="M340" t="s">
        <v>46</v>
      </c>
      <c r="N340">
        <f t="shared" si="20"/>
        <v>4413785</v>
      </c>
      <c r="O340">
        <f t="shared" si="21"/>
        <v>1323892.3900000004</v>
      </c>
      <c r="P340">
        <f t="shared" si="22"/>
        <v>162</v>
      </c>
      <c r="Q340">
        <f t="shared" si="23"/>
        <v>102</v>
      </c>
    </row>
    <row r="341" spans="1:17" x14ac:dyDescent="0.25">
      <c r="A341" t="s">
        <v>534</v>
      </c>
      <c r="B341" s="3">
        <v>46027</v>
      </c>
      <c r="C341" t="s">
        <v>183</v>
      </c>
      <c r="D341" t="s">
        <v>80</v>
      </c>
      <c r="E341" t="s">
        <v>22</v>
      </c>
      <c r="F341" t="s">
        <v>83</v>
      </c>
      <c r="G341">
        <v>3</v>
      </c>
      <c r="H341">
        <v>1550</v>
      </c>
      <c r="I341">
        <v>0</v>
      </c>
      <c r="J341">
        <v>4650</v>
      </c>
      <c r="K341">
        <v>3251.91</v>
      </c>
      <c r="L341">
        <v>1398.09</v>
      </c>
      <c r="M341" t="s">
        <v>30</v>
      </c>
      <c r="N341">
        <f t="shared" si="20"/>
        <v>4384285</v>
      </c>
      <c r="O341">
        <f t="shared" si="21"/>
        <v>1312045.8700000003</v>
      </c>
      <c r="P341">
        <f t="shared" si="22"/>
        <v>161</v>
      </c>
      <c r="Q341">
        <f t="shared" si="23"/>
        <v>102</v>
      </c>
    </row>
    <row r="342" spans="1:17" x14ac:dyDescent="0.25">
      <c r="A342" t="s">
        <v>535</v>
      </c>
      <c r="B342" s="3">
        <v>46275</v>
      </c>
      <c r="C342" t="s">
        <v>484</v>
      </c>
      <c r="D342" t="s">
        <v>21</v>
      </c>
      <c r="E342" t="s">
        <v>28</v>
      </c>
      <c r="F342" t="s">
        <v>41</v>
      </c>
      <c r="G342">
        <v>5</v>
      </c>
      <c r="H342">
        <v>650</v>
      </c>
      <c r="I342">
        <v>15</v>
      </c>
      <c r="J342">
        <v>2762.5</v>
      </c>
      <c r="K342">
        <v>1794.06</v>
      </c>
      <c r="L342">
        <v>968.44</v>
      </c>
      <c r="M342" t="s">
        <v>24</v>
      </c>
      <c r="N342">
        <f t="shared" si="20"/>
        <v>4379635</v>
      </c>
      <c r="O342">
        <f t="shared" si="21"/>
        <v>1310647.7800000003</v>
      </c>
      <c r="P342">
        <f t="shared" si="22"/>
        <v>160</v>
      </c>
      <c r="Q342">
        <f t="shared" si="23"/>
        <v>102</v>
      </c>
    </row>
    <row r="343" spans="1:17" x14ac:dyDescent="0.25">
      <c r="A343" t="s">
        <v>536</v>
      </c>
      <c r="B343" s="3">
        <v>46348</v>
      </c>
      <c r="C343" t="s">
        <v>111</v>
      </c>
      <c r="D343" t="s">
        <v>33</v>
      </c>
      <c r="E343" t="s">
        <v>55</v>
      </c>
      <c r="F343" t="s">
        <v>132</v>
      </c>
      <c r="G343">
        <v>4</v>
      </c>
      <c r="H343">
        <v>900</v>
      </c>
      <c r="I343">
        <v>5</v>
      </c>
      <c r="J343">
        <v>3420</v>
      </c>
      <c r="K343">
        <v>2381.06</v>
      </c>
      <c r="L343">
        <v>1038.94</v>
      </c>
      <c r="M343" t="s">
        <v>46</v>
      </c>
      <c r="N343">
        <f t="shared" si="20"/>
        <v>4376872.5</v>
      </c>
      <c r="O343">
        <f t="shared" si="21"/>
        <v>1309679.3400000003</v>
      </c>
      <c r="P343">
        <f t="shared" si="22"/>
        <v>159</v>
      </c>
      <c r="Q343">
        <f t="shared" si="23"/>
        <v>101</v>
      </c>
    </row>
    <row r="344" spans="1:17" x14ac:dyDescent="0.25">
      <c r="A344" t="s">
        <v>537</v>
      </c>
      <c r="B344" s="3">
        <v>46237</v>
      </c>
      <c r="C344" t="s">
        <v>202</v>
      </c>
      <c r="D344" t="s">
        <v>75</v>
      </c>
      <c r="E344" t="s">
        <v>22</v>
      </c>
      <c r="F344" t="s">
        <v>83</v>
      </c>
      <c r="G344">
        <v>1</v>
      </c>
      <c r="H344">
        <v>1050</v>
      </c>
      <c r="I344">
        <v>20</v>
      </c>
      <c r="J344">
        <v>840</v>
      </c>
      <c r="K344">
        <v>684.97</v>
      </c>
      <c r="L344">
        <v>155.03</v>
      </c>
      <c r="M344" t="s">
        <v>24</v>
      </c>
      <c r="N344">
        <f t="shared" si="20"/>
        <v>4373452.5</v>
      </c>
      <c r="O344">
        <f t="shared" si="21"/>
        <v>1308640.4000000001</v>
      </c>
      <c r="P344">
        <f t="shared" si="22"/>
        <v>158</v>
      </c>
      <c r="Q344">
        <f t="shared" si="23"/>
        <v>101</v>
      </c>
    </row>
    <row r="345" spans="1:17" x14ac:dyDescent="0.25">
      <c r="A345" t="s">
        <v>538</v>
      </c>
      <c r="B345" s="3">
        <v>46213</v>
      </c>
      <c r="C345" t="s">
        <v>185</v>
      </c>
      <c r="D345" t="s">
        <v>15</v>
      </c>
      <c r="E345" t="s">
        <v>34</v>
      </c>
      <c r="F345" t="s">
        <v>38</v>
      </c>
      <c r="G345">
        <v>1</v>
      </c>
      <c r="H345">
        <v>2300</v>
      </c>
      <c r="I345">
        <v>20</v>
      </c>
      <c r="J345">
        <v>1840</v>
      </c>
      <c r="K345">
        <v>1217.21</v>
      </c>
      <c r="L345">
        <v>622.79</v>
      </c>
      <c r="M345" t="s">
        <v>18</v>
      </c>
      <c r="N345">
        <f t="shared" si="20"/>
        <v>4372612.5</v>
      </c>
      <c r="O345">
        <f t="shared" si="21"/>
        <v>1308485.3700000001</v>
      </c>
      <c r="P345">
        <f t="shared" si="22"/>
        <v>157</v>
      </c>
      <c r="Q345">
        <f t="shared" si="23"/>
        <v>101</v>
      </c>
    </row>
    <row r="346" spans="1:17" x14ac:dyDescent="0.25">
      <c r="A346" t="s">
        <v>539</v>
      </c>
      <c r="B346" s="3">
        <v>46054</v>
      </c>
      <c r="C346" t="s">
        <v>136</v>
      </c>
      <c r="D346" t="s">
        <v>68</v>
      </c>
      <c r="E346" t="s">
        <v>16</v>
      </c>
      <c r="F346" t="s">
        <v>240</v>
      </c>
      <c r="G346">
        <v>2</v>
      </c>
      <c r="H346">
        <v>52900</v>
      </c>
      <c r="I346">
        <v>0</v>
      </c>
      <c r="J346">
        <v>105800</v>
      </c>
      <c r="K346">
        <v>75098.09</v>
      </c>
      <c r="L346">
        <v>30701.91</v>
      </c>
      <c r="M346" t="s">
        <v>24</v>
      </c>
      <c r="N346">
        <f t="shared" si="20"/>
        <v>4370772.5</v>
      </c>
      <c r="O346">
        <f t="shared" si="21"/>
        <v>1307862.58</v>
      </c>
      <c r="P346">
        <f t="shared" si="22"/>
        <v>156</v>
      </c>
      <c r="Q346">
        <f t="shared" si="23"/>
        <v>101</v>
      </c>
    </row>
    <row r="347" spans="1:17" x14ac:dyDescent="0.25">
      <c r="A347" t="s">
        <v>540</v>
      </c>
      <c r="B347" s="3">
        <v>46162</v>
      </c>
      <c r="C347" t="s">
        <v>196</v>
      </c>
      <c r="D347" t="s">
        <v>15</v>
      </c>
      <c r="E347" t="s">
        <v>34</v>
      </c>
      <c r="F347" t="s">
        <v>116</v>
      </c>
      <c r="G347">
        <v>3</v>
      </c>
      <c r="H347">
        <v>3600</v>
      </c>
      <c r="I347">
        <v>10</v>
      </c>
      <c r="J347">
        <v>9720</v>
      </c>
      <c r="K347">
        <v>6180.71</v>
      </c>
      <c r="L347">
        <v>3539.29</v>
      </c>
      <c r="M347" t="s">
        <v>24</v>
      </c>
      <c r="N347">
        <f t="shared" si="20"/>
        <v>4264972.5</v>
      </c>
      <c r="O347">
        <f t="shared" si="21"/>
        <v>1277160.6700000002</v>
      </c>
      <c r="P347">
        <f t="shared" si="22"/>
        <v>155</v>
      </c>
      <c r="Q347">
        <f t="shared" si="23"/>
        <v>101</v>
      </c>
    </row>
    <row r="348" spans="1:17" x14ac:dyDescent="0.25">
      <c r="A348" t="s">
        <v>541</v>
      </c>
      <c r="B348" s="3">
        <v>46261</v>
      </c>
      <c r="C348" t="s">
        <v>109</v>
      </c>
      <c r="D348" t="s">
        <v>27</v>
      </c>
      <c r="E348" t="s">
        <v>55</v>
      </c>
      <c r="F348" t="s">
        <v>179</v>
      </c>
      <c r="G348">
        <v>1</v>
      </c>
      <c r="H348">
        <v>3050</v>
      </c>
      <c r="I348">
        <v>0</v>
      </c>
      <c r="J348">
        <v>3050</v>
      </c>
      <c r="K348">
        <v>1812.86</v>
      </c>
      <c r="L348">
        <v>1237.1400000000001</v>
      </c>
      <c r="M348" t="s">
        <v>46</v>
      </c>
      <c r="N348">
        <f t="shared" si="20"/>
        <v>4255252.5</v>
      </c>
      <c r="O348">
        <f t="shared" si="21"/>
        <v>1273621.3800000004</v>
      </c>
      <c r="P348">
        <f t="shared" si="22"/>
        <v>154</v>
      </c>
      <c r="Q348">
        <f t="shared" si="23"/>
        <v>100</v>
      </c>
    </row>
    <row r="349" spans="1:17" x14ac:dyDescent="0.25">
      <c r="A349" t="s">
        <v>542</v>
      </c>
      <c r="B349" s="3">
        <v>46084</v>
      </c>
      <c r="C349" t="s">
        <v>193</v>
      </c>
      <c r="D349" t="s">
        <v>68</v>
      </c>
      <c r="E349" t="s">
        <v>28</v>
      </c>
      <c r="F349" t="s">
        <v>41</v>
      </c>
      <c r="G349">
        <v>2</v>
      </c>
      <c r="H349">
        <v>1100</v>
      </c>
      <c r="I349">
        <v>10</v>
      </c>
      <c r="J349">
        <v>1980</v>
      </c>
      <c r="K349">
        <v>1336.71</v>
      </c>
      <c r="L349">
        <v>643.29</v>
      </c>
      <c r="M349" t="s">
        <v>30</v>
      </c>
      <c r="N349">
        <f t="shared" si="20"/>
        <v>4252202.5</v>
      </c>
      <c r="O349">
        <f t="shared" si="21"/>
        <v>1272384.2400000002</v>
      </c>
      <c r="P349">
        <f t="shared" si="22"/>
        <v>153</v>
      </c>
      <c r="Q349">
        <f t="shared" si="23"/>
        <v>100</v>
      </c>
    </row>
    <row r="350" spans="1:17" x14ac:dyDescent="0.25">
      <c r="A350" t="s">
        <v>543</v>
      </c>
      <c r="B350" s="3">
        <v>46150</v>
      </c>
      <c r="C350" t="s">
        <v>32</v>
      </c>
      <c r="D350" t="s">
        <v>27</v>
      </c>
      <c r="E350" t="s">
        <v>28</v>
      </c>
      <c r="F350" t="s">
        <v>78</v>
      </c>
      <c r="G350">
        <v>2</v>
      </c>
      <c r="H350">
        <v>800</v>
      </c>
      <c r="I350">
        <v>5</v>
      </c>
      <c r="J350">
        <v>1520</v>
      </c>
      <c r="K350">
        <v>873.43</v>
      </c>
      <c r="L350">
        <v>646.57000000000005</v>
      </c>
      <c r="M350" t="s">
        <v>18</v>
      </c>
      <c r="N350">
        <f t="shared" si="20"/>
        <v>4250222.5</v>
      </c>
      <c r="O350">
        <f t="shared" si="21"/>
        <v>1271740.9500000002</v>
      </c>
      <c r="P350">
        <f t="shared" si="22"/>
        <v>152</v>
      </c>
      <c r="Q350">
        <f t="shared" si="23"/>
        <v>100</v>
      </c>
    </row>
    <row r="351" spans="1:17" x14ac:dyDescent="0.25">
      <c r="A351" t="s">
        <v>544</v>
      </c>
      <c r="B351" s="3">
        <v>46254</v>
      </c>
      <c r="C351" t="s">
        <v>545</v>
      </c>
      <c r="D351" t="s">
        <v>21</v>
      </c>
      <c r="E351" t="s">
        <v>16</v>
      </c>
      <c r="F351" t="s">
        <v>72</v>
      </c>
      <c r="G351">
        <v>3</v>
      </c>
      <c r="H351">
        <v>24000</v>
      </c>
      <c r="I351">
        <v>0</v>
      </c>
      <c r="J351">
        <v>72000</v>
      </c>
      <c r="K351">
        <v>58108.76</v>
      </c>
      <c r="L351">
        <v>13891.24</v>
      </c>
      <c r="M351" t="s">
        <v>24</v>
      </c>
      <c r="N351">
        <f t="shared" si="20"/>
        <v>4248702.5</v>
      </c>
      <c r="O351">
        <f t="shared" si="21"/>
        <v>1271094.3800000004</v>
      </c>
      <c r="P351">
        <f t="shared" si="22"/>
        <v>151</v>
      </c>
      <c r="Q351">
        <f t="shared" si="23"/>
        <v>99</v>
      </c>
    </row>
    <row r="352" spans="1:17" x14ac:dyDescent="0.25">
      <c r="A352" t="s">
        <v>546</v>
      </c>
      <c r="B352" s="3">
        <v>46136</v>
      </c>
      <c r="C352" t="s">
        <v>272</v>
      </c>
      <c r="D352" t="s">
        <v>80</v>
      </c>
      <c r="E352" t="s">
        <v>16</v>
      </c>
      <c r="F352" t="s">
        <v>45</v>
      </c>
      <c r="G352">
        <v>1</v>
      </c>
      <c r="H352">
        <v>19500</v>
      </c>
      <c r="I352">
        <v>0</v>
      </c>
      <c r="J352">
        <v>19500</v>
      </c>
      <c r="K352">
        <v>10787.95</v>
      </c>
      <c r="L352">
        <v>8712.0499999999993</v>
      </c>
      <c r="M352" t="s">
        <v>63</v>
      </c>
      <c r="N352">
        <f t="shared" si="20"/>
        <v>4176702.5</v>
      </c>
      <c r="O352">
        <f t="shared" si="21"/>
        <v>1257203.1400000004</v>
      </c>
      <c r="P352">
        <f t="shared" si="22"/>
        <v>150</v>
      </c>
      <c r="Q352">
        <f t="shared" si="23"/>
        <v>99</v>
      </c>
    </row>
    <row r="353" spans="1:17" x14ac:dyDescent="0.25">
      <c r="A353" t="s">
        <v>547</v>
      </c>
      <c r="B353" s="3">
        <v>46061</v>
      </c>
      <c r="C353" t="s">
        <v>269</v>
      </c>
      <c r="D353" t="s">
        <v>15</v>
      </c>
      <c r="E353" t="s">
        <v>34</v>
      </c>
      <c r="F353" t="s">
        <v>38</v>
      </c>
      <c r="G353">
        <v>5</v>
      </c>
      <c r="H353">
        <v>5200</v>
      </c>
      <c r="I353">
        <v>10</v>
      </c>
      <c r="J353">
        <v>23400</v>
      </c>
      <c r="K353">
        <v>18666.310000000001</v>
      </c>
      <c r="L353">
        <v>4733.6899999999996</v>
      </c>
      <c r="M353" t="s">
        <v>24</v>
      </c>
      <c r="N353">
        <f t="shared" si="20"/>
        <v>4157202.5</v>
      </c>
      <c r="O353">
        <f t="shared" si="21"/>
        <v>1248491.0900000003</v>
      </c>
      <c r="P353">
        <f t="shared" si="22"/>
        <v>149</v>
      </c>
      <c r="Q353">
        <f t="shared" si="23"/>
        <v>99</v>
      </c>
    </row>
    <row r="354" spans="1:17" x14ac:dyDescent="0.25">
      <c r="A354" t="s">
        <v>548</v>
      </c>
      <c r="B354" s="3">
        <v>46259</v>
      </c>
      <c r="C354" t="s">
        <v>427</v>
      </c>
      <c r="D354" t="s">
        <v>68</v>
      </c>
      <c r="E354" t="s">
        <v>22</v>
      </c>
      <c r="F354" t="s">
        <v>95</v>
      </c>
      <c r="G354">
        <v>1</v>
      </c>
      <c r="H354">
        <v>1550</v>
      </c>
      <c r="I354">
        <v>0</v>
      </c>
      <c r="J354">
        <v>1550</v>
      </c>
      <c r="K354">
        <v>870.37</v>
      </c>
      <c r="L354">
        <v>679.63</v>
      </c>
      <c r="M354" t="s">
        <v>18</v>
      </c>
      <c r="N354">
        <f t="shared" si="20"/>
        <v>4133802.5</v>
      </c>
      <c r="O354">
        <f t="shared" si="21"/>
        <v>1243757.4000000004</v>
      </c>
      <c r="P354">
        <f t="shared" si="22"/>
        <v>148</v>
      </c>
      <c r="Q354">
        <f t="shared" si="23"/>
        <v>99</v>
      </c>
    </row>
    <row r="355" spans="1:17" x14ac:dyDescent="0.25">
      <c r="A355" t="s">
        <v>549</v>
      </c>
      <c r="B355" s="3">
        <v>46111</v>
      </c>
      <c r="C355" t="s">
        <v>349</v>
      </c>
      <c r="D355" t="s">
        <v>80</v>
      </c>
      <c r="E355" t="s">
        <v>22</v>
      </c>
      <c r="F355" t="s">
        <v>165</v>
      </c>
      <c r="G355">
        <v>4</v>
      </c>
      <c r="H355">
        <v>300</v>
      </c>
      <c r="I355">
        <v>15</v>
      </c>
      <c r="J355">
        <v>1020</v>
      </c>
      <c r="K355">
        <v>749.16</v>
      </c>
      <c r="L355">
        <v>270.83999999999997</v>
      </c>
      <c r="M355" t="s">
        <v>24</v>
      </c>
      <c r="N355">
        <f t="shared" si="20"/>
        <v>4132252.5</v>
      </c>
      <c r="O355">
        <f t="shared" si="21"/>
        <v>1243077.7700000003</v>
      </c>
      <c r="P355">
        <f t="shared" si="22"/>
        <v>147</v>
      </c>
      <c r="Q355">
        <f t="shared" si="23"/>
        <v>99</v>
      </c>
    </row>
    <row r="356" spans="1:17" x14ac:dyDescent="0.25">
      <c r="A356" t="s">
        <v>550</v>
      </c>
      <c r="B356" s="3">
        <v>46338</v>
      </c>
      <c r="C356" t="s">
        <v>181</v>
      </c>
      <c r="D356" t="s">
        <v>44</v>
      </c>
      <c r="E356" t="s">
        <v>34</v>
      </c>
      <c r="F356" t="s">
        <v>116</v>
      </c>
      <c r="G356">
        <v>4</v>
      </c>
      <c r="H356">
        <v>1600</v>
      </c>
      <c r="I356">
        <v>0</v>
      </c>
      <c r="J356">
        <v>6400</v>
      </c>
      <c r="K356">
        <v>4581.18</v>
      </c>
      <c r="L356">
        <v>1818.82</v>
      </c>
      <c r="M356" t="s">
        <v>63</v>
      </c>
      <c r="N356">
        <f t="shared" si="20"/>
        <v>4131232.5</v>
      </c>
      <c r="O356">
        <f t="shared" si="21"/>
        <v>1242806.9300000004</v>
      </c>
      <c r="P356">
        <f t="shared" si="22"/>
        <v>146</v>
      </c>
      <c r="Q356">
        <f t="shared" si="23"/>
        <v>99</v>
      </c>
    </row>
    <row r="357" spans="1:17" x14ac:dyDescent="0.25">
      <c r="A357" t="s">
        <v>551</v>
      </c>
      <c r="B357" s="3">
        <v>46093</v>
      </c>
      <c r="C357" t="s">
        <v>143</v>
      </c>
      <c r="D357" t="s">
        <v>80</v>
      </c>
      <c r="E357" t="s">
        <v>22</v>
      </c>
      <c r="F357" t="s">
        <v>104</v>
      </c>
      <c r="G357">
        <v>4</v>
      </c>
      <c r="H357">
        <v>450</v>
      </c>
      <c r="I357">
        <v>0</v>
      </c>
      <c r="J357">
        <v>1800</v>
      </c>
      <c r="K357">
        <v>1125.97</v>
      </c>
      <c r="L357">
        <v>674.03</v>
      </c>
      <c r="M357" t="s">
        <v>18</v>
      </c>
      <c r="N357">
        <f t="shared" si="20"/>
        <v>4124832.5</v>
      </c>
      <c r="O357">
        <f t="shared" si="21"/>
        <v>1240988.1100000003</v>
      </c>
      <c r="P357">
        <f t="shared" si="22"/>
        <v>145</v>
      </c>
      <c r="Q357">
        <f t="shared" si="23"/>
        <v>99</v>
      </c>
    </row>
    <row r="358" spans="1:17" x14ac:dyDescent="0.25">
      <c r="A358" t="s">
        <v>552</v>
      </c>
      <c r="B358" s="3">
        <v>46271</v>
      </c>
      <c r="C358" t="s">
        <v>371</v>
      </c>
      <c r="D358" t="s">
        <v>52</v>
      </c>
      <c r="E358" t="s">
        <v>55</v>
      </c>
      <c r="F358" t="s">
        <v>179</v>
      </c>
      <c r="G358">
        <v>1</v>
      </c>
      <c r="H358">
        <v>6750</v>
      </c>
      <c r="I358">
        <v>10</v>
      </c>
      <c r="J358">
        <v>6075</v>
      </c>
      <c r="K358">
        <v>4128.05</v>
      </c>
      <c r="L358">
        <v>1946.95</v>
      </c>
      <c r="M358" t="s">
        <v>18</v>
      </c>
      <c r="N358">
        <f t="shared" si="20"/>
        <v>4123032.5</v>
      </c>
      <c r="O358">
        <f t="shared" si="21"/>
        <v>1240314.0800000003</v>
      </c>
      <c r="P358">
        <f t="shared" si="22"/>
        <v>144</v>
      </c>
      <c r="Q358">
        <f t="shared" si="23"/>
        <v>99</v>
      </c>
    </row>
    <row r="359" spans="1:17" x14ac:dyDescent="0.25">
      <c r="A359" t="s">
        <v>553</v>
      </c>
      <c r="B359" s="3">
        <v>46135</v>
      </c>
      <c r="C359" t="s">
        <v>291</v>
      </c>
      <c r="D359" t="s">
        <v>44</v>
      </c>
      <c r="E359" t="s">
        <v>34</v>
      </c>
      <c r="F359" t="s">
        <v>69</v>
      </c>
      <c r="G359">
        <v>3</v>
      </c>
      <c r="H359">
        <v>1850</v>
      </c>
      <c r="I359">
        <v>0</v>
      </c>
      <c r="J359">
        <v>5550</v>
      </c>
      <c r="K359">
        <v>3530.34</v>
      </c>
      <c r="L359">
        <v>2019.66</v>
      </c>
      <c r="M359" t="s">
        <v>46</v>
      </c>
      <c r="N359">
        <f t="shared" si="20"/>
        <v>4116957.5</v>
      </c>
      <c r="O359">
        <f t="shared" si="21"/>
        <v>1238367.1300000004</v>
      </c>
      <c r="P359">
        <f t="shared" si="22"/>
        <v>143</v>
      </c>
      <c r="Q359">
        <f t="shared" si="23"/>
        <v>98</v>
      </c>
    </row>
    <row r="360" spans="1:17" x14ac:dyDescent="0.25">
      <c r="A360" t="s">
        <v>554</v>
      </c>
      <c r="B360" s="3">
        <v>46104</v>
      </c>
      <c r="C360" t="s">
        <v>91</v>
      </c>
      <c r="D360" t="s">
        <v>80</v>
      </c>
      <c r="E360" t="s">
        <v>22</v>
      </c>
      <c r="F360" t="s">
        <v>104</v>
      </c>
      <c r="G360">
        <v>3</v>
      </c>
      <c r="H360">
        <v>3350</v>
      </c>
      <c r="I360">
        <v>20</v>
      </c>
      <c r="J360">
        <v>8040</v>
      </c>
      <c r="K360">
        <v>6591.94</v>
      </c>
      <c r="L360">
        <v>1448.06</v>
      </c>
      <c r="M360" t="s">
        <v>24</v>
      </c>
      <c r="N360">
        <f t="shared" si="20"/>
        <v>4111407.5</v>
      </c>
      <c r="O360">
        <f t="shared" si="21"/>
        <v>1236347.4700000004</v>
      </c>
      <c r="P360">
        <f t="shared" si="22"/>
        <v>142</v>
      </c>
      <c r="Q360">
        <f t="shared" si="23"/>
        <v>98</v>
      </c>
    </row>
    <row r="361" spans="1:17" x14ac:dyDescent="0.25">
      <c r="A361" t="s">
        <v>555</v>
      </c>
      <c r="B361" s="3">
        <v>46221</v>
      </c>
      <c r="C361" t="s">
        <v>349</v>
      </c>
      <c r="D361" t="s">
        <v>68</v>
      </c>
      <c r="E361" t="s">
        <v>34</v>
      </c>
      <c r="F361" t="s">
        <v>60</v>
      </c>
      <c r="G361">
        <v>1</v>
      </c>
      <c r="H361">
        <v>2200</v>
      </c>
      <c r="I361">
        <v>20</v>
      </c>
      <c r="J361">
        <v>1760</v>
      </c>
      <c r="K361">
        <v>1370.26</v>
      </c>
      <c r="L361">
        <v>389.74</v>
      </c>
      <c r="M361" t="s">
        <v>24</v>
      </c>
      <c r="N361">
        <f t="shared" si="20"/>
        <v>4103367.5</v>
      </c>
      <c r="O361">
        <f t="shared" si="21"/>
        <v>1234899.4100000004</v>
      </c>
      <c r="P361">
        <f t="shared" si="22"/>
        <v>141</v>
      </c>
      <c r="Q361">
        <f t="shared" si="23"/>
        <v>98</v>
      </c>
    </row>
    <row r="362" spans="1:17" x14ac:dyDescent="0.25">
      <c r="A362" t="s">
        <v>556</v>
      </c>
      <c r="B362" s="3">
        <v>46037</v>
      </c>
      <c r="C362" t="s">
        <v>349</v>
      </c>
      <c r="D362" t="s">
        <v>52</v>
      </c>
      <c r="E362" t="s">
        <v>55</v>
      </c>
      <c r="F362" t="s">
        <v>179</v>
      </c>
      <c r="G362">
        <v>3</v>
      </c>
      <c r="H362">
        <v>11950</v>
      </c>
      <c r="I362">
        <v>10</v>
      </c>
      <c r="J362">
        <v>32265</v>
      </c>
      <c r="K362">
        <v>25707.93</v>
      </c>
      <c r="L362">
        <v>6557.07</v>
      </c>
      <c r="M362" t="s">
        <v>18</v>
      </c>
      <c r="N362">
        <f t="shared" si="20"/>
        <v>4101607.5</v>
      </c>
      <c r="O362">
        <f t="shared" si="21"/>
        <v>1234509.6700000004</v>
      </c>
      <c r="P362">
        <f t="shared" si="22"/>
        <v>140</v>
      </c>
      <c r="Q362">
        <f t="shared" si="23"/>
        <v>98</v>
      </c>
    </row>
    <row r="363" spans="1:17" x14ac:dyDescent="0.25">
      <c r="A363" t="s">
        <v>557</v>
      </c>
      <c r="B363" s="3">
        <v>46274</v>
      </c>
      <c r="C363" t="s">
        <v>222</v>
      </c>
      <c r="D363" t="s">
        <v>15</v>
      </c>
      <c r="E363" t="s">
        <v>55</v>
      </c>
      <c r="F363" t="s">
        <v>179</v>
      </c>
      <c r="G363">
        <v>2</v>
      </c>
      <c r="H363">
        <v>8550</v>
      </c>
      <c r="I363">
        <v>20</v>
      </c>
      <c r="J363">
        <v>13680</v>
      </c>
      <c r="K363">
        <v>8665.52</v>
      </c>
      <c r="L363">
        <v>5014.4799999999996</v>
      </c>
      <c r="M363" t="s">
        <v>46</v>
      </c>
      <c r="N363">
        <f t="shared" si="20"/>
        <v>4069342.5</v>
      </c>
      <c r="O363">
        <f t="shared" si="21"/>
        <v>1227952.6000000003</v>
      </c>
      <c r="P363">
        <f t="shared" si="22"/>
        <v>139</v>
      </c>
      <c r="Q363">
        <f t="shared" si="23"/>
        <v>97</v>
      </c>
    </row>
    <row r="364" spans="1:17" x14ac:dyDescent="0.25">
      <c r="A364" t="s">
        <v>558</v>
      </c>
      <c r="B364" s="3">
        <v>46192</v>
      </c>
      <c r="C364" t="s">
        <v>174</v>
      </c>
      <c r="D364" t="s">
        <v>68</v>
      </c>
      <c r="E364" t="s">
        <v>55</v>
      </c>
      <c r="F364" t="s">
        <v>179</v>
      </c>
      <c r="G364">
        <v>2</v>
      </c>
      <c r="H364">
        <v>850</v>
      </c>
      <c r="I364">
        <v>20</v>
      </c>
      <c r="J364">
        <v>1360</v>
      </c>
      <c r="K364">
        <v>923.52</v>
      </c>
      <c r="L364">
        <v>436.48</v>
      </c>
      <c r="M364" t="s">
        <v>30</v>
      </c>
      <c r="N364">
        <f t="shared" si="20"/>
        <v>4055662.5</v>
      </c>
      <c r="O364">
        <f t="shared" si="21"/>
        <v>1222938.1200000003</v>
      </c>
      <c r="P364">
        <f t="shared" si="22"/>
        <v>138</v>
      </c>
      <c r="Q364">
        <f t="shared" si="23"/>
        <v>97</v>
      </c>
    </row>
    <row r="365" spans="1:17" x14ac:dyDescent="0.25">
      <c r="A365" t="s">
        <v>559</v>
      </c>
      <c r="B365" s="3">
        <v>46095</v>
      </c>
      <c r="C365" t="s">
        <v>390</v>
      </c>
      <c r="D365" t="s">
        <v>21</v>
      </c>
      <c r="E365" t="s">
        <v>55</v>
      </c>
      <c r="F365" t="s">
        <v>141</v>
      </c>
      <c r="G365">
        <v>1</v>
      </c>
      <c r="H365">
        <v>850</v>
      </c>
      <c r="I365">
        <v>5</v>
      </c>
      <c r="J365">
        <v>807.5</v>
      </c>
      <c r="K365">
        <v>572.02</v>
      </c>
      <c r="L365">
        <v>235.48</v>
      </c>
      <c r="M365" t="s">
        <v>30</v>
      </c>
      <c r="N365">
        <f t="shared" si="20"/>
        <v>4054302.5</v>
      </c>
      <c r="O365">
        <f t="shared" si="21"/>
        <v>1222501.6400000004</v>
      </c>
      <c r="P365">
        <f t="shared" si="22"/>
        <v>137</v>
      </c>
      <c r="Q365">
        <f t="shared" si="23"/>
        <v>97</v>
      </c>
    </row>
    <row r="366" spans="1:17" x14ac:dyDescent="0.25">
      <c r="A366" t="s">
        <v>560</v>
      </c>
      <c r="B366" s="3">
        <v>46092</v>
      </c>
      <c r="C366" t="s">
        <v>26</v>
      </c>
      <c r="D366" t="s">
        <v>27</v>
      </c>
      <c r="E366" t="s">
        <v>16</v>
      </c>
      <c r="F366" t="s">
        <v>72</v>
      </c>
      <c r="G366">
        <v>4</v>
      </c>
      <c r="H366">
        <v>14450</v>
      </c>
      <c r="I366">
        <v>10</v>
      </c>
      <c r="J366">
        <v>52020</v>
      </c>
      <c r="K366">
        <v>32849.410000000003</v>
      </c>
      <c r="L366">
        <v>19170.59</v>
      </c>
      <c r="M366" t="s">
        <v>63</v>
      </c>
      <c r="N366">
        <f t="shared" si="20"/>
        <v>4053495</v>
      </c>
      <c r="O366">
        <f t="shared" si="21"/>
        <v>1222266.1600000004</v>
      </c>
      <c r="P366">
        <f t="shared" si="22"/>
        <v>136</v>
      </c>
      <c r="Q366">
        <f t="shared" si="23"/>
        <v>97</v>
      </c>
    </row>
    <row r="367" spans="1:17" x14ac:dyDescent="0.25">
      <c r="A367" t="s">
        <v>561</v>
      </c>
      <c r="B367" s="3">
        <v>46324</v>
      </c>
      <c r="C367" t="s">
        <v>357</v>
      </c>
      <c r="D367" t="s">
        <v>27</v>
      </c>
      <c r="E367" t="s">
        <v>34</v>
      </c>
      <c r="F367" t="s">
        <v>35</v>
      </c>
      <c r="G367">
        <v>5</v>
      </c>
      <c r="H367">
        <v>5450</v>
      </c>
      <c r="I367">
        <v>10</v>
      </c>
      <c r="J367">
        <v>24525</v>
      </c>
      <c r="K367">
        <v>14966.97</v>
      </c>
      <c r="L367">
        <v>9558.0300000000007</v>
      </c>
      <c r="M367" t="s">
        <v>30</v>
      </c>
      <c r="N367">
        <f t="shared" si="20"/>
        <v>4001475</v>
      </c>
      <c r="O367">
        <f t="shared" si="21"/>
        <v>1203095.5700000003</v>
      </c>
      <c r="P367">
        <f t="shared" si="22"/>
        <v>135</v>
      </c>
      <c r="Q367">
        <f t="shared" si="23"/>
        <v>96</v>
      </c>
    </row>
    <row r="368" spans="1:17" x14ac:dyDescent="0.25">
      <c r="A368" t="s">
        <v>562</v>
      </c>
      <c r="B368" s="3">
        <v>46313</v>
      </c>
      <c r="C368" t="s">
        <v>266</v>
      </c>
      <c r="D368" t="s">
        <v>68</v>
      </c>
      <c r="E368" t="s">
        <v>34</v>
      </c>
      <c r="F368" t="s">
        <v>35</v>
      </c>
      <c r="G368">
        <v>2</v>
      </c>
      <c r="H368">
        <v>400</v>
      </c>
      <c r="I368">
        <v>20</v>
      </c>
      <c r="J368">
        <v>640</v>
      </c>
      <c r="K368">
        <v>419.67</v>
      </c>
      <c r="L368">
        <v>220.33</v>
      </c>
      <c r="M368" t="s">
        <v>18</v>
      </c>
      <c r="N368">
        <f t="shared" si="20"/>
        <v>3976950</v>
      </c>
      <c r="O368">
        <f t="shared" si="21"/>
        <v>1193537.54</v>
      </c>
      <c r="P368">
        <f t="shared" si="22"/>
        <v>134</v>
      </c>
      <c r="Q368">
        <f t="shared" si="23"/>
        <v>95</v>
      </c>
    </row>
    <row r="369" spans="1:17" x14ac:dyDescent="0.25">
      <c r="A369" t="s">
        <v>563</v>
      </c>
      <c r="B369" s="3">
        <v>46277</v>
      </c>
      <c r="C369" t="s">
        <v>455</v>
      </c>
      <c r="D369" t="s">
        <v>33</v>
      </c>
      <c r="E369" t="s">
        <v>34</v>
      </c>
      <c r="F369" t="s">
        <v>60</v>
      </c>
      <c r="G369">
        <v>2</v>
      </c>
      <c r="H369">
        <v>5650</v>
      </c>
      <c r="I369">
        <v>20</v>
      </c>
      <c r="J369">
        <v>9040</v>
      </c>
      <c r="K369">
        <v>5226.1099999999997</v>
      </c>
      <c r="L369">
        <v>3813.89</v>
      </c>
      <c r="M369" t="s">
        <v>46</v>
      </c>
      <c r="N369">
        <f t="shared" si="20"/>
        <v>3976310</v>
      </c>
      <c r="O369">
        <f t="shared" si="21"/>
        <v>1193317.2100000002</v>
      </c>
      <c r="P369">
        <f t="shared" si="22"/>
        <v>133</v>
      </c>
      <c r="Q369">
        <f t="shared" si="23"/>
        <v>94</v>
      </c>
    </row>
    <row r="370" spans="1:17" x14ac:dyDescent="0.25">
      <c r="A370" t="s">
        <v>564</v>
      </c>
      <c r="B370" s="3">
        <v>46366</v>
      </c>
      <c r="C370" t="s">
        <v>527</v>
      </c>
      <c r="D370" t="s">
        <v>59</v>
      </c>
      <c r="E370" t="s">
        <v>55</v>
      </c>
      <c r="F370" t="s">
        <v>141</v>
      </c>
      <c r="G370">
        <v>3</v>
      </c>
      <c r="H370">
        <v>3250</v>
      </c>
      <c r="I370">
        <v>0</v>
      </c>
      <c r="J370">
        <v>9750</v>
      </c>
      <c r="K370">
        <v>7525.52</v>
      </c>
      <c r="L370">
        <v>2224.48</v>
      </c>
      <c r="M370" t="s">
        <v>46</v>
      </c>
      <c r="N370">
        <f t="shared" si="20"/>
        <v>3967270</v>
      </c>
      <c r="O370">
        <f t="shared" si="21"/>
        <v>1189503.32</v>
      </c>
      <c r="P370">
        <f t="shared" si="22"/>
        <v>132</v>
      </c>
      <c r="Q370">
        <f t="shared" si="23"/>
        <v>94</v>
      </c>
    </row>
    <row r="371" spans="1:17" x14ac:dyDescent="0.25">
      <c r="A371" t="s">
        <v>565</v>
      </c>
      <c r="B371" s="3">
        <v>46078</v>
      </c>
      <c r="C371" t="s">
        <v>138</v>
      </c>
      <c r="D371" t="s">
        <v>75</v>
      </c>
      <c r="E371" t="s">
        <v>34</v>
      </c>
      <c r="F371" t="s">
        <v>35</v>
      </c>
      <c r="G371">
        <v>2</v>
      </c>
      <c r="H371">
        <v>950</v>
      </c>
      <c r="I371">
        <v>10</v>
      </c>
      <c r="J371">
        <v>1710</v>
      </c>
      <c r="K371">
        <v>1059</v>
      </c>
      <c r="L371">
        <v>651</v>
      </c>
      <c r="M371" t="s">
        <v>63</v>
      </c>
      <c r="N371">
        <f t="shared" si="20"/>
        <v>3957520</v>
      </c>
      <c r="O371">
        <f t="shared" si="21"/>
        <v>1187278.8400000001</v>
      </c>
      <c r="P371">
        <f t="shared" si="22"/>
        <v>131</v>
      </c>
      <c r="Q371">
        <f t="shared" si="23"/>
        <v>94</v>
      </c>
    </row>
    <row r="372" spans="1:17" x14ac:dyDescent="0.25">
      <c r="A372" t="s">
        <v>566</v>
      </c>
      <c r="B372" s="3">
        <v>46202</v>
      </c>
      <c r="C372" t="s">
        <v>14</v>
      </c>
      <c r="D372" t="s">
        <v>27</v>
      </c>
      <c r="E372" t="s">
        <v>22</v>
      </c>
      <c r="F372" t="s">
        <v>165</v>
      </c>
      <c r="G372">
        <v>2</v>
      </c>
      <c r="H372">
        <v>1900</v>
      </c>
      <c r="I372">
        <v>15</v>
      </c>
      <c r="J372">
        <v>3230</v>
      </c>
      <c r="K372">
        <v>2545.4899999999998</v>
      </c>
      <c r="L372">
        <v>684.51</v>
      </c>
      <c r="M372" t="s">
        <v>46</v>
      </c>
      <c r="N372">
        <f t="shared" si="20"/>
        <v>3955810</v>
      </c>
      <c r="O372">
        <f t="shared" si="21"/>
        <v>1186627.8400000001</v>
      </c>
      <c r="P372">
        <f t="shared" si="22"/>
        <v>130</v>
      </c>
      <c r="Q372">
        <f t="shared" si="23"/>
        <v>93</v>
      </c>
    </row>
    <row r="373" spans="1:17" x14ac:dyDescent="0.25">
      <c r="A373" t="s">
        <v>567</v>
      </c>
      <c r="B373" s="3">
        <v>46040</v>
      </c>
      <c r="C373" t="s">
        <v>250</v>
      </c>
      <c r="D373" t="s">
        <v>75</v>
      </c>
      <c r="E373" t="s">
        <v>22</v>
      </c>
      <c r="F373" t="s">
        <v>104</v>
      </c>
      <c r="G373">
        <v>2</v>
      </c>
      <c r="H373">
        <v>850</v>
      </c>
      <c r="I373">
        <v>15</v>
      </c>
      <c r="J373">
        <v>1445</v>
      </c>
      <c r="K373">
        <v>823.51</v>
      </c>
      <c r="L373">
        <v>621.49</v>
      </c>
      <c r="M373" t="s">
        <v>30</v>
      </c>
      <c r="N373">
        <f t="shared" si="20"/>
        <v>3952580</v>
      </c>
      <c r="O373">
        <f t="shared" si="21"/>
        <v>1185943.33</v>
      </c>
      <c r="P373">
        <f t="shared" si="22"/>
        <v>129</v>
      </c>
      <c r="Q373">
        <f t="shared" si="23"/>
        <v>92</v>
      </c>
    </row>
    <row r="374" spans="1:17" x14ac:dyDescent="0.25">
      <c r="A374" t="s">
        <v>568</v>
      </c>
      <c r="B374" s="3">
        <v>46105</v>
      </c>
      <c r="C374" t="s">
        <v>453</v>
      </c>
      <c r="D374" t="s">
        <v>21</v>
      </c>
      <c r="E374" t="s">
        <v>34</v>
      </c>
      <c r="F374" t="s">
        <v>38</v>
      </c>
      <c r="G374">
        <v>1</v>
      </c>
      <c r="H374">
        <v>3200</v>
      </c>
      <c r="I374">
        <v>5</v>
      </c>
      <c r="J374">
        <v>3040</v>
      </c>
      <c r="K374">
        <v>2400.81</v>
      </c>
      <c r="L374">
        <v>639.19000000000005</v>
      </c>
      <c r="M374" t="s">
        <v>46</v>
      </c>
      <c r="N374">
        <f t="shared" si="20"/>
        <v>3951135</v>
      </c>
      <c r="O374">
        <f t="shared" si="21"/>
        <v>1185321.8400000001</v>
      </c>
      <c r="P374">
        <f t="shared" si="22"/>
        <v>128</v>
      </c>
      <c r="Q374">
        <f t="shared" si="23"/>
        <v>92</v>
      </c>
    </row>
    <row r="375" spans="1:17" x14ac:dyDescent="0.25">
      <c r="A375" t="s">
        <v>569</v>
      </c>
      <c r="B375" s="3">
        <v>46357</v>
      </c>
      <c r="C375" t="s">
        <v>323</v>
      </c>
      <c r="D375" t="s">
        <v>52</v>
      </c>
      <c r="E375" t="s">
        <v>34</v>
      </c>
      <c r="F375" t="s">
        <v>60</v>
      </c>
      <c r="G375">
        <v>5</v>
      </c>
      <c r="H375">
        <v>4350</v>
      </c>
      <c r="I375">
        <v>0</v>
      </c>
      <c r="J375">
        <v>21750</v>
      </c>
      <c r="K375">
        <v>14495.45</v>
      </c>
      <c r="L375">
        <v>7254.55</v>
      </c>
      <c r="M375" t="s">
        <v>63</v>
      </c>
      <c r="N375">
        <f t="shared" si="20"/>
        <v>3948095</v>
      </c>
      <c r="O375">
        <f t="shared" si="21"/>
        <v>1184682.6500000001</v>
      </c>
      <c r="P375">
        <f t="shared" si="22"/>
        <v>127</v>
      </c>
      <c r="Q375">
        <f t="shared" si="23"/>
        <v>92</v>
      </c>
    </row>
    <row r="376" spans="1:17" x14ac:dyDescent="0.25">
      <c r="A376" t="s">
        <v>570</v>
      </c>
      <c r="B376" s="3">
        <v>46232</v>
      </c>
      <c r="C376" t="s">
        <v>210</v>
      </c>
      <c r="D376" t="s">
        <v>21</v>
      </c>
      <c r="E376" t="s">
        <v>55</v>
      </c>
      <c r="F376" t="s">
        <v>132</v>
      </c>
      <c r="G376">
        <v>1</v>
      </c>
      <c r="H376">
        <v>5900</v>
      </c>
      <c r="I376">
        <v>5</v>
      </c>
      <c r="J376">
        <v>5605</v>
      </c>
      <c r="K376">
        <v>4557.3599999999997</v>
      </c>
      <c r="L376">
        <v>1047.6400000000001</v>
      </c>
      <c r="M376" t="s">
        <v>30</v>
      </c>
      <c r="N376">
        <f t="shared" si="20"/>
        <v>3926345</v>
      </c>
      <c r="O376">
        <f t="shared" si="21"/>
        <v>1177428.1000000001</v>
      </c>
      <c r="P376">
        <f t="shared" si="22"/>
        <v>126</v>
      </c>
      <c r="Q376">
        <f t="shared" si="23"/>
        <v>92</v>
      </c>
    </row>
    <row r="377" spans="1:17" x14ac:dyDescent="0.25">
      <c r="A377" t="s">
        <v>571</v>
      </c>
      <c r="B377" s="3">
        <v>46304</v>
      </c>
      <c r="C377" t="s">
        <v>202</v>
      </c>
      <c r="D377" t="s">
        <v>68</v>
      </c>
      <c r="E377" t="s">
        <v>34</v>
      </c>
      <c r="F377" t="s">
        <v>116</v>
      </c>
      <c r="G377">
        <v>2</v>
      </c>
      <c r="H377">
        <v>1200</v>
      </c>
      <c r="I377">
        <v>0</v>
      </c>
      <c r="J377">
        <v>2400</v>
      </c>
      <c r="K377">
        <v>1574.6</v>
      </c>
      <c r="L377">
        <v>825.4</v>
      </c>
      <c r="M377" t="s">
        <v>46</v>
      </c>
      <c r="N377">
        <f t="shared" si="20"/>
        <v>3920740</v>
      </c>
      <c r="O377">
        <f t="shared" si="21"/>
        <v>1176380.46</v>
      </c>
      <c r="P377">
        <f t="shared" si="22"/>
        <v>125</v>
      </c>
      <c r="Q377">
        <f t="shared" si="23"/>
        <v>92</v>
      </c>
    </row>
    <row r="378" spans="1:17" x14ac:dyDescent="0.25">
      <c r="A378" t="s">
        <v>572</v>
      </c>
      <c r="B378" s="3">
        <v>46343</v>
      </c>
      <c r="C378" t="s">
        <v>393</v>
      </c>
      <c r="D378" t="s">
        <v>80</v>
      </c>
      <c r="E378" t="s">
        <v>34</v>
      </c>
      <c r="F378" t="s">
        <v>38</v>
      </c>
      <c r="G378">
        <v>4</v>
      </c>
      <c r="H378">
        <v>1100</v>
      </c>
      <c r="I378">
        <v>10</v>
      </c>
      <c r="J378">
        <v>3960</v>
      </c>
      <c r="K378">
        <v>3058.91</v>
      </c>
      <c r="L378">
        <v>901.09</v>
      </c>
      <c r="M378" t="s">
        <v>46</v>
      </c>
      <c r="N378">
        <f t="shared" si="20"/>
        <v>3918340</v>
      </c>
      <c r="O378">
        <f t="shared" si="21"/>
        <v>1175555.06</v>
      </c>
      <c r="P378">
        <f t="shared" si="22"/>
        <v>124</v>
      </c>
      <c r="Q378">
        <f t="shared" si="23"/>
        <v>91</v>
      </c>
    </row>
    <row r="379" spans="1:17" x14ac:dyDescent="0.25">
      <c r="A379" t="s">
        <v>573</v>
      </c>
      <c r="B379" s="3">
        <v>46082</v>
      </c>
      <c r="C379" t="s">
        <v>489</v>
      </c>
      <c r="D379" t="s">
        <v>27</v>
      </c>
      <c r="E379" t="s">
        <v>16</v>
      </c>
      <c r="F379" t="s">
        <v>107</v>
      </c>
      <c r="G379">
        <v>2</v>
      </c>
      <c r="H379">
        <v>39450</v>
      </c>
      <c r="I379">
        <v>0</v>
      </c>
      <c r="J379">
        <v>78900</v>
      </c>
      <c r="K379">
        <v>53483.48</v>
      </c>
      <c r="L379">
        <v>25416.52</v>
      </c>
      <c r="M379" t="s">
        <v>63</v>
      </c>
      <c r="N379">
        <f t="shared" si="20"/>
        <v>3914380</v>
      </c>
      <c r="O379">
        <f t="shared" si="21"/>
        <v>1174653.97</v>
      </c>
      <c r="P379">
        <f t="shared" si="22"/>
        <v>123</v>
      </c>
      <c r="Q379">
        <f t="shared" si="23"/>
        <v>90</v>
      </c>
    </row>
    <row r="380" spans="1:17" x14ac:dyDescent="0.25">
      <c r="A380" t="s">
        <v>574</v>
      </c>
      <c r="B380" s="3">
        <v>46212</v>
      </c>
      <c r="C380" t="s">
        <v>62</v>
      </c>
      <c r="D380" t="s">
        <v>33</v>
      </c>
      <c r="E380" t="s">
        <v>22</v>
      </c>
      <c r="F380" t="s">
        <v>83</v>
      </c>
      <c r="G380">
        <v>1</v>
      </c>
      <c r="H380">
        <v>2850</v>
      </c>
      <c r="I380">
        <v>20</v>
      </c>
      <c r="J380">
        <v>2280</v>
      </c>
      <c r="K380">
        <v>1492.56</v>
      </c>
      <c r="L380">
        <v>787.44</v>
      </c>
      <c r="M380" t="s">
        <v>24</v>
      </c>
      <c r="N380">
        <f t="shared" si="20"/>
        <v>3835480</v>
      </c>
      <c r="O380">
        <f t="shared" si="21"/>
        <v>1149237.45</v>
      </c>
      <c r="P380">
        <f t="shared" si="22"/>
        <v>122</v>
      </c>
      <c r="Q380">
        <f t="shared" si="23"/>
        <v>90</v>
      </c>
    </row>
    <row r="381" spans="1:17" x14ac:dyDescent="0.25">
      <c r="A381" t="s">
        <v>575</v>
      </c>
      <c r="B381" s="3">
        <v>46160</v>
      </c>
      <c r="C381" t="s">
        <v>169</v>
      </c>
      <c r="D381" t="s">
        <v>75</v>
      </c>
      <c r="E381" t="s">
        <v>22</v>
      </c>
      <c r="F381" t="s">
        <v>23</v>
      </c>
      <c r="G381">
        <v>3</v>
      </c>
      <c r="H381">
        <v>2000</v>
      </c>
      <c r="I381">
        <v>15</v>
      </c>
      <c r="J381">
        <v>5100</v>
      </c>
      <c r="K381">
        <v>3167.7</v>
      </c>
      <c r="L381">
        <v>1932.3</v>
      </c>
      <c r="M381" t="s">
        <v>24</v>
      </c>
      <c r="N381">
        <f t="shared" si="20"/>
        <v>3833200</v>
      </c>
      <c r="O381">
        <f t="shared" si="21"/>
        <v>1148450.0099999998</v>
      </c>
      <c r="P381">
        <f t="shared" si="22"/>
        <v>121</v>
      </c>
      <c r="Q381">
        <f t="shared" si="23"/>
        <v>89</v>
      </c>
    </row>
    <row r="382" spans="1:17" x14ac:dyDescent="0.25">
      <c r="A382" t="s">
        <v>576</v>
      </c>
      <c r="B382" s="3">
        <v>46324</v>
      </c>
      <c r="C382" t="s">
        <v>252</v>
      </c>
      <c r="D382" t="s">
        <v>21</v>
      </c>
      <c r="E382" t="s">
        <v>16</v>
      </c>
      <c r="F382" t="s">
        <v>17</v>
      </c>
      <c r="G382">
        <v>3</v>
      </c>
      <c r="H382">
        <v>72150</v>
      </c>
      <c r="I382">
        <v>15</v>
      </c>
      <c r="J382">
        <v>183982.5</v>
      </c>
      <c r="K382">
        <v>149410.44</v>
      </c>
      <c r="L382">
        <v>34572.06</v>
      </c>
      <c r="M382" t="s">
        <v>46</v>
      </c>
      <c r="N382">
        <f t="shared" si="20"/>
        <v>3828100</v>
      </c>
      <c r="O382">
        <f t="shared" si="21"/>
        <v>1146517.71</v>
      </c>
      <c r="P382">
        <f t="shared" si="22"/>
        <v>120</v>
      </c>
      <c r="Q382">
        <f t="shared" si="23"/>
        <v>88</v>
      </c>
    </row>
    <row r="383" spans="1:17" x14ac:dyDescent="0.25">
      <c r="A383" t="s">
        <v>577</v>
      </c>
      <c r="B383" s="3">
        <v>46143</v>
      </c>
      <c r="C383" t="s">
        <v>276</v>
      </c>
      <c r="D383" t="s">
        <v>44</v>
      </c>
      <c r="E383" t="s">
        <v>22</v>
      </c>
      <c r="F383" t="s">
        <v>104</v>
      </c>
      <c r="G383">
        <v>4</v>
      </c>
      <c r="H383">
        <v>2400</v>
      </c>
      <c r="I383">
        <v>15</v>
      </c>
      <c r="J383">
        <v>8160</v>
      </c>
      <c r="K383">
        <v>5749.8</v>
      </c>
      <c r="L383">
        <v>2410.1999999999998</v>
      </c>
      <c r="M383" t="s">
        <v>46</v>
      </c>
      <c r="N383">
        <f t="shared" si="20"/>
        <v>3644117.5</v>
      </c>
      <c r="O383">
        <f t="shared" si="21"/>
        <v>1111945.6499999997</v>
      </c>
      <c r="P383">
        <f t="shared" si="22"/>
        <v>119</v>
      </c>
      <c r="Q383">
        <f t="shared" si="23"/>
        <v>87</v>
      </c>
    </row>
    <row r="384" spans="1:17" x14ac:dyDescent="0.25">
      <c r="A384" t="s">
        <v>578</v>
      </c>
      <c r="B384" s="3">
        <v>46369</v>
      </c>
      <c r="C384" t="s">
        <v>579</v>
      </c>
      <c r="D384" t="s">
        <v>15</v>
      </c>
      <c r="E384" t="s">
        <v>22</v>
      </c>
      <c r="F384" t="s">
        <v>23</v>
      </c>
      <c r="G384">
        <v>5</v>
      </c>
      <c r="H384">
        <v>2550</v>
      </c>
      <c r="I384">
        <v>20</v>
      </c>
      <c r="J384">
        <v>10200</v>
      </c>
      <c r="K384">
        <v>7814.44</v>
      </c>
      <c r="L384">
        <v>2385.56</v>
      </c>
      <c r="M384" t="s">
        <v>63</v>
      </c>
      <c r="N384">
        <f t="shared" si="20"/>
        <v>3635957.5</v>
      </c>
      <c r="O384">
        <f t="shared" si="21"/>
        <v>1109535.4499999997</v>
      </c>
      <c r="P384">
        <f t="shared" si="22"/>
        <v>118</v>
      </c>
      <c r="Q384">
        <f t="shared" si="23"/>
        <v>86</v>
      </c>
    </row>
    <row r="385" spans="1:17" x14ac:dyDescent="0.25">
      <c r="A385" t="s">
        <v>580</v>
      </c>
      <c r="B385" s="3">
        <v>46063</v>
      </c>
      <c r="C385" t="s">
        <v>136</v>
      </c>
      <c r="D385" t="s">
        <v>80</v>
      </c>
      <c r="E385" t="s">
        <v>55</v>
      </c>
      <c r="F385" t="s">
        <v>97</v>
      </c>
      <c r="G385">
        <v>2</v>
      </c>
      <c r="H385">
        <v>3650</v>
      </c>
      <c r="I385">
        <v>5</v>
      </c>
      <c r="J385">
        <v>6935</v>
      </c>
      <c r="K385">
        <v>3894.16</v>
      </c>
      <c r="L385">
        <v>3040.84</v>
      </c>
      <c r="M385" t="s">
        <v>24</v>
      </c>
      <c r="N385">
        <f t="shared" si="20"/>
        <v>3625757.5</v>
      </c>
      <c r="O385">
        <f t="shared" si="21"/>
        <v>1107149.8899999997</v>
      </c>
      <c r="P385">
        <f t="shared" si="22"/>
        <v>117</v>
      </c>
      <c r="Q385">
        <f t="shared" si="23"/>
        <v>85</v>
      </c>
    </row>
    <row r="386" spans="1:17" x14ac:dyDescent="0.25">
      <c r="A386" t="s">
        <v>581</v>
      </c>
      <c r="B386" s="3">
        <v>46307</v>
      </c>
      <c r="C386" t="s">
        <v>258</v>
      </c>
      <c r="D386" t="s">
        <v>21</v>
      </c>
      <c r="E386" t="s">
        <v>28</v>
      </c>
      <c r="F386" t="s">
        <v>41</v>
      </c>
      <c r="G386">
        <v>3</v>
      </c>
      <c r="H386">
        <v>1650</v>
      </c>
      <c r="I386">
        <v>0</v>
      </c>
      <c r="J386">
        <v>4950</v>
      </c>
      <c r="K386">
        <v>2838.81</v>
      </c>
      <c r="L386">
        <v>2111.19</v>
      </c>
      <c r="M386" t="s">
        <v>30</v>
      </c>
      <c r="N386">
        <f t="shared" ref="N386:N449" si="24">SUM(J386:J885)</f>
        <v>3618822.5</v>
      </c>
      <c r="O386">
        <f t="shared" ref="O386:O449" si="25">SUM(L386:L885)</f>
        <v>1104109.0499999996</v>
      </c>
      <c r="P386">
        <f t="shared" ref="P386:P449" si="26">COUNTA(A386:A885)</f>
        <v>116</v>
      </c>
      <c r="Q386">
        <f t="shared" ref="Q386:Q449" si="27">COUNTA(_xlfn.UNIQUE(C386:C885))</f>
        <v>85</v>
      </c>
    </row>
    <row r="387" spans="1:17" x14ac:dyDescent="0.25">
      <c r="A387" t="s">
        <v>582</v>
      </c>
      <c r="B387" s="3">
        <v>46237</v>
      </c>
      <c r="C387" t="s">
        <v>390</v>
      </c>
      <c r="D387" t="s">
        <v>27</v>
      </c>
      <c r="E387" t="s">
        <v>34</v>
      </c>
      <c r="F387" t="s">
        <v>60</v>
      </c>
      <c r="G387">
        <v>4</v>
      </c>
      <c r="H387">
        <v>500</v>
      </c>
      <c r="I387">
        <v>20</v>
      </c>
      <c r="J387">
        <v>1600</v>
      </c>
      <c r="K387">
        <v>1133.83</v>
      </c>
      <c r="L387">
        <v>466.17</v>
      </c>
      <c r="M387" t="s">
        <v>24</v>
      </c>
      <c r="N387">
        <f t="shared" si="24"/>
        <v>3613872.5</v>
      </c>
      <c r="O387">
        <f t="shared" si="25"/>
        <v>1101997.8599999996</v>
      </c>
      <c r="P387">
        <f t="shared" si="26"/>
        <v>115</v>
      </c>
      <c r="Q387">
        <f t="shared" si="27"/>
        <v>85</v>
      </c>
    </row>
    <row r="388" spans="1:17" x14ac:dyDescent="0.25">
      <c r="A388" t="s">
        <v>583</v>
      </c>
      <c r="B388" s="3">
        <v>46311</v>
      </c>
      <c r="C388" t="s">
        <v>91</v>
      </c>
      <c r="D388" t="s">
        <v>44</v>
      </c>
      <c r="E388" t="s">
        <v>55</v>
      </c>
      <c r="F388" t="s">
        <v>179</v>
      </c>
      <c r="G388">
        <v>5</v>
      </c>
      <c r="H388">
        <v>10050</v>
      </c>
      <c r="I388">
        <v>0</v>
      </c>
      <c r="J388">
        <v>50250</v>
      </c>
      <c r="K388">
        <v>40186.46</v>
      </c>
      <c r="L388">
        <v>10063.540000000001</v>
      </c>
      <c r="M388" t="s">
        <v>18</v>
      </c>
      <c r="N388">
        <f t="shared" si="24"/>
        <v>3612272.5</v>
      </c>
      <c r="O388">
        <f t="shared" si="25"/>
        <v>1101531.6899999997</v>
      </c>
      <c r="P388">
        <f t="shared" si="26"/>
        <v>114</v>
      </c>
      <c r="Q388">
        <f t="shared" si="27"/>
        <v>84</v>
      </c>
    </row>
    <row r="389" spans="1:17" x14ac:dyDescent="0.25">
      <c r="A389" t="s">
        <v>584</v>
      </c>
      <c r="B389" s="3">
        <v>46265</v>
      </c>
      <c r="C389" t="s">
        <v>222</v>
      </c>
      <c r="D389" t="s">
        <v>68</v>
      </c>
      <c r="E389" t="s">
        <v>34</v>
      </c>
      <c r="F389" t="s">
        <v>69</v>
      </c>
      <c r="G389">
        <v>3</v>
      </c>
      <c r="H389">
        <v>3550</v>
      </c>
      <c r="I389">
        <v>15</v>
      </c>
      <c r="J389">
        <v>9052.5</v>
      </c>
      <c r="K389">
        <v>6377</v>
      </c>
      <c r="L389">
        <v>2675.5</v>
      </c>
      <c r="M389" t="s">
        <v>30</v>
      </c>
      <c r="N389">
        <f t="shared" si="24"/>
        <v>3562022.5</v>
      </c>
      <c r="O389">
        <f t="shared" si="25"/>
        <v>1091468.1499999997</v>
      </c>
      <c r="P389">
        <f t="shared" si="26"/>
        <v>113</v>
      </c>
      <c r="Q389">
        <f t="shared" si="27"/>
        <v>84</v>
      </c>
    </row>
    <row r="390" spans="1:17" x14ac:dyDescent="0.25">
      <c r="A390" t="s">
        <v>585</v>
      </c>
      <c r="B390" s="3">
        <v>46192</v>
      </c>
      <c r="C390" t="s">
        <v>430</v>
      </c>
      <c r="D390" t="s">
        <v>75</v>
      </c>
      <c r="E390" t="s">
        <v>22</v>
      </c>
      <c r="F390" t="s">
        <v>95</v>
      </c>
      <c r="G390">
        <v>5</v>
      </c>
      <c r="H390">
        <v>2700</v>
      </c>
      <c r="I390">
        <v>15</v>
      </c>
      <c r="J390">
        <v>11475</v>
      </c>
      <c r="K390">
        <v>6431.41</v>
      </c>
      <c r="L390">
        <v>5043.59</v>
      </c>
      <c r="M390" t="s">
        <v>63</v>
      </c>
      <c r="N390">
        <f t="shared" si="24"/>
        <v>3552970</v>
      </c>
      <c r="O390">
        <f t="shared" si="25"/>
        <v>1088792.6499999997</v>
      </c>
      <c r="P390">
        <f t="shared" si="26"/>
        <v>112</v>
      </c>
      <c r="Q390">
        <f t="shared" si="27"/>
        <v>83</v>
      </c>
    </row>
    <row r="391" spans="1:17" x14ac:dyDescent="0.25">
      <c r="A391" t="s">
        <v>586</v>
      </c>
      <c r="B391" s="3">
        <v>46274</v>
      </c>
      <c r="C391" t="s">
        <v>91</v>
      </c>
      <c r="D391" t="s">
        <v>80</v>
      </c>
      <c r="E391" t="s">
        <v>34</v>
      </c>
      <c r="F391" t="s">
        <v>116</v>
      </c>
      <c r="G391">
        <v>1</v>
      </c>
      <c r="H391">
        <v>3150</v>
      </c>
      <c r="I391">
        <v>10</v>
      </c>
      <c r="J391">
        <v>2835</v>
      </c>
      <c r="K391">
        <v>1797.27</v>
      </c>
      <c r="L391">
        <v>1037.73</v>
      </c>
      <c r="M391" t="s">
        <v>24</v>
      </c>
      <c r="N391">
        <f t="shared" si="24"/>
        <v>3541495</v>
      </c>
      <c r="O391">
        <f t="shared" si="25"/>
        <v>1083749.0599999996</v>
      </c>
      <c r="P391">
        <f t="shared" si="26"/>
        <v>111</v>
      </c>
      <c r="Q391">
        <f t="shared" si="27"/>
        <v>82</v>
      </c>
    </row>
    <row r="392" spans="1:17" x14ac:dyDescent="0.25">
      <c r="A392" t="s">
        <v>587</v>
      </c>
      <c r="B392" s="3">
        <v>46068</v>
      </c>
      <c r="C392" t="s">
        <v>343</v>
      </c>
      <c r="D392" t="s">
        <v>59</v>
      </c>
      <c r="E392" t="s">
        <v>34</v>
      </c>
      <c r="F392" t="s">
        <v>69</v>
      </c>
      <c r="G392">
        <v>3</v>
      </c>
      <c r="H392">
        <v>2600</v>
      </c>
      <c r="I392">
        <v>15</v>
      </c>
      <c r="J392">
        <v>6630</v>
      </c>
      <c r="K392">
        <v>4729.47</v>
      </c>
      <c r="L392">
        <v>1900.53</v>
      </c>
      <c r="M392" t="s">
        <v>24</v>
      </c>
      <c r="N392">
        <f t="shared" si="24"/>
        <v>3538660</v>
      </c>
      <c r="O392">
        <f t="shared" si="25"/>
        <v>1082711.3299999996</v>
      </c>
      <c r="P392">
        <f t="shared" si="26"/>
        <v>110</v>
      </c>
      <c r="Q392">
        <f t="shared" si="27"/>
        <v>82</v>
      </c>
    </row>
    <row r="393" spans="1:17" x14ac:dyDescent="0.25">
      <c r="A393" t="s">
        <v>588</v>
      </c>
      <c r="B393" s="3">
        <v>46104</v>
      </c>
      <c r="C393" t="s">
        <v>82</v>
      </c>
      <c r="D393" t="s">
        <v>44</v>
      </c>
      <c r="E393" t="s">
        <v>22</v>
      </c>
      <c r="F393" t="s">
        <v>165</v>
      </c>
      <c r="G393">
        <v>5</v>
      </c>
      <c r="H393">
        <v>1750</v>
      </c>
      <c r="I393">
        <v>0</v>
      </c>
      <c r="J393">
        <v>8750</v>
      </c>
      <c r="K393">
        <v>6029.82</v>
      </c>
      <c r="L393">
        <v>2720.18</v>
      </c>
      <c r="M393" t="s">
        <v>18</v>
      </c>
      <c r="N393">
        <f t="shared" si="24"/>
        <v>3532030</v>
      </c>
      <c r="O393">
        <f t="shared" si="25"/>
        <v>1080810.7999999996</v>
      </c>
      <c r="P393">
        <f t="shared" si="26"/>
        <v>109</v>
      </c>
      <c r="Q393">
        <f t="shared" si="27"/>
        <v>82</v>
      </c>
    </row>
    <row r="394" spans="1:17" x14ac:dyDescent="0.25">
      <c r="A394" t="s">
        <v>589</v>
      </c>
      <c r="B394" s="3">
        <v>46125</v>
      </c>
      <c r="C394" t="s">
        <v>101</v>
      </c>
      <c r="D394" t="s">
        <v>80</v>
      </c>
      <c r="E394" t="s">
        <v>22</v>
      </c>
      <c r="F394" t="s">
        <v>95</v>
      </c>
      <c r="G394">
        <v>5</v>
      </c>
      <c r="H394">
        <v>2550</v>
      </c>
      <c r="I394">
        <v>0</v>
      </c>
      <c r="J394">
        <v>12750</v>
      </c>
      <c r="K394">
        <v>7610.59</v>
      </c>
      <c r="L394">
        <v>5139.41</v>
      </c>
      <c r="M394" t="s">
        <v>46</v>
      </c>
      <c r="N394">
        <f t="shared" si="24"/>
        <v>3523280</v>
      </c>
      <c r="O394">
        <f t="shared" si="25"/>
        <v>1078090.6199999996</v>
      </c>
      <c r="P394">
        <f t="shared" si="26"/>
        <v>108</v>
      </c>
      <c r="Q394">
        <f t="shared" si="27"/>
        <v>81</v>
      </c>
    </row>
    <row r="395" spans="1:17" x14ac:dyDescent="0.25">
      <c r="A395" t="s">
        <v>590</v>
      </c>
      <c r="B395" s="3">
        <v>46260</v>
      </c>
      <c r="C395" t="s">
        <v>406</v>
      </c>
      <c r="D395" t="s">
        <v>27</v>
      </c>
      <c r="E395" t="s">
        <v>22</v>
      </c>
      <c r="F395" t="s">
        <v>23</v>
      </c>
      <c r="G395">
        <v>3</v>
      </c>
      <c r="H395">
        <v>3100</v>
      </c>
      <c r="I395">
        <v>5</v>
      </c>
      <c r="J395">
        <v>8835</v>
      </c>
      <c r="K395">
        <v>5512.81</v>
      </c>
      <c r="L395">
        <v>3322.19</v>
      </c>
      <c r="M395" t="s">
        <v>46</v>
      </c>
      <c r="N395">
        <f t="shared" si="24"/>
        <v>3510530</v>
      </c>
      <c r="O395">
        <f t="shared" si="25"/>
        <v>1072951.2099999995</v>
      </c>
      <c r="P395">
        <f t="shared" si="26"/>
        <v>107</v>
      </c>
      <c r="Q395">
        <f t="shared" si="27"/>
        <v>81</v>
      </c>
    </row>
    <row r="396" spans="1:17" x14ac:dyDescent="0.25">
      <c r="A396" t="s">
        <v>591</v>
      </c>
      <c r="B396" s="3">
        <v>46265</v>
      </c>
      <c r="C396" t="s">
        <v>210</v>
      </c>
      <c r="D396" t="s">
        <v>33</v>
      </c>
      <c r="E396" t="s">
        <v>16</v>
      </c>
      <c r="F396" t="s">
        <v>107</v>
      </c>
      <c r="G396">
        <v>3</v>
      </c>
      <c r="H396">
        <v>65250</v>
      </c>
      <c r="I396">
        <v>20</v>
      </c>
      <c r="J396">
        <v>156600</v>
      </c>
      <c r="K396">
        <v>104992.15</v>
      </c>
      <c r="L396">
        <v>51607.85</v>
      </c>
      <c r="M396" t="s">
        <v>30</v>
      </c>
      <c r="N396">
        <f t="shared" si="24"/>
        <v>3501695</v>
      </c>
      <c r="O396">
        <f t="shared" si="25"/>
        <v>1069629.0199999996</v>
      </c>
      <c r="P396">
        <f t="shared" si="26"/>
        <v>106</v>
      </c>
      <c r="Q396">
        <f t="shared" si="27"/>
        <v>80</v>
      </c>
    </row>
    <row r="397" spans="1:17" x14ac:dyDescent="0.25">
      <c r="A397" t="s">
        <v>592</v>
      </c>
      <c r="B397" s="3">
        <v>46106</v>
      </c>
      <c r="C397" t="s">
        <v>530</v>
      </c>
      <c r="D397" t="s">
        <v>80</v>
      </c>
      <c r="E397" t="s">
        <v>55</v>
      </c>
      <c r="F397" t="s">
        <v>141</v>
      </c>
      <c r="G397">
        <v>1</v>
      </c>
      <c r="H397">
        <v>5150</v>
      </c>
      <c r="I397">
        <v>0</v>
      </c>
      <c r="J397">
        <v>5150</v>
      </c>
      <c r="K397">
        <v>3370.02</v>
      </c>
      <c r="L397">
        <v>1779.98</v>
      </c>
      <c r="M397" t="s">
        <v>24</v>
      </c>
      <c r="N397">
        <f t="shared" si="24"/>
        <v>3345095</v>
      </c>
      <c r="O397">
        <f t="shared" si="25"/>
        <v>1018021.1699999998</v>
      </c>
      <c r="P397">
        <f t="shared" si="26"/>
        <v>105</v>
      </c>
      <c r="Q397">
        <f t="shared" si="27"/>
        <v>80</v>
      </c>
    </row>
    <row r="398" spans="1:17" x14ac:dyDescent="0.25">
      <c r="A398" t="s">
        <v>593</v>
      </c>
      <c r="B398" s="3">
        <v>46372</v>
      </c>
      <c r="C398" t="s">
        <v>111</v>
      </c>
      <c r="D398" t="s">
        <v>59</v>
      </c>
      <c r="E398" t="s">
        <v>55</v>
      </c>
      <c r="F398" t="s">
        <v>97</v>
      </c>
      <c r="G398">
        <v>3</v>
      </c>
      <c r="H398">
        <v>11200</v>
      </c>
      <c r="I398">
        <v>15</v>
      </c>
      <c r="J398">
        <v>28560</v>
      </c>
      <c r="K398">
        <v>19666.009999999998</v>
      </c>
      <c r="L398">
        <v>8893.99</v>
      </c>
      <c r="M398" t="s">
        <v>24</v>
      </c>
      <c r="N398">
        <f t="shared" si="24"/>
        <v>3339945</v>
      </c>
      <c r="O398">
        <f t="shared" si="25"/>
        <v>1016241.1899999998</v>
      </c>
      <c r="P398">
        <f t="shared" si="26"/>
        <v>104</v>
      </c>
      <c r="Q398">
        <f t="shared" si="27"/>
        <v>80</v>
      </c>
    </row>
    <row r="399" spans="1:17" x14ac:dyDescent="0.25">
      <c r="A399" t="s">
        <v>594</v>
      </c>
      <c r="B399" s="3">
        <v>46179</v>
      </c>
      <c r="C399" t="s">
        <v>198</v>
      </c>
      <c r="D399" t="s">
        <v>27</v>
      </c>
      <c r="E399" t="s">
        <v>55</v>
      </c>
      <c r="F399" t="s">
        <v>179</v>
      </c>
      <c r="G399">
        <v>1</v>
      </c>
      <c r="H399">
        <v>4150</v>
      </c>
      <c r="I399">
        <v>10</v>
      </c>
      <c r="J399">
        <v>3735</v>
      </c>
      <c r="K399">
        <v>2667.73</v>
      </c>
      <c r="L399">
        <v>1067.27</v>
      </c>
      <c r="M399" t="s">
        <v>63</v>
      </c>
      <c r="N399">
        <f t="shared" si="24"/>
        <v>3311385</v>
      </c>
      <c r="O399">
        <f t="shared" si="25"/>
        <v>1007347.1999999998</v>
      </c>
      <c r="P399">
        <f t="shared" si="26"/>
        <v>103</v>
      </c>
      <c r="Q399">
        <f t="shared" si="27"/>
        <v>79</v>
      </c>
    </row>
    <row r="400" spans="1:17" x14ac:dyDescent="0.25">
      <c r="A400" t="s">
        <v>595</v>
      </c>
      <c r="B400" s="3">
        <v>46289</v>
      </c>
      <c r="C400" t="s">
        <v>258</v>
      </c>
      <c r="D400" t="s">
        <v>52</v>
      </c>
      <c r="E400" t="s">
        <v>34</v>
      </c>
      <c r="F400" t="s">
        <v>69</v>
      </c>
      <c r="G400">
        <v>3</v>
      </c>
      <c r="H400">
        <v>2200</v>
      </c>
      <c r="I400">
        <v>15</v>
      </c>
      <c r="J400">
        <v>5610</v>
      </c>
      <c r="K400">
        <v>3543.16</v>
      </c>
      <c r="L400">
        <v>2066.84</v>
      </c>
      <c r="M400" t="s">
        <v>46</v>
      </c>
      <c r="N400">
        <f t="shared" si="24"/>
        <v>3307650</v>
      </c>
      <c r="O400">
        <f t="shared" si="25"/>
        <v>1006279.9299999998</v>
      </c>
      <c r="P400">
        <f t="shared" si="26"/>
        <v>102</v>
      </c>
      <c r="Q400">
        <f t="shared" si="27"/>
        <v>78</v>
      </c>
    </row>
    <row r="401" spans="1:17" x14ac:dyDescent="0.25">
      <c r="A401" t="s">
        <v>596</v>
      </c>
      <c r="B401" s="3">
        <v>46175</v>
      </c>
      <c r="C401" t="s">
        <v>597</v>
      </c>
      <c r="D401" t="s">
        <v>59</v>
      </c>
      <c r="E401" t="s">
        <v>16</v>
      </c>
      <c r="F401" t="s">
        <v>240</v>
      </c>
      <c r="G401">
        <v>3</v>
      </c>
      <c r="H401">
        <v>74800</v>
      </c>
      <c r="I401">
        <v>20</v>
      </c>
      <c r="J401">
        <v>179520</v>
      </c>
      <c r="K401">
        <v>128256.9</v>
      </c>
      <c r="L401">
        <v>51263.1</v>
      </c>
      <c r="M401" t="s">
        <v>46</v>
      </c>
      <c r="N401">
        <f t="shared" si="24"/>
        <v>3302040</v>
      </c>
      <c r="O401">
        <f t="shared" si="25"/>
        <v>1004213.0899999999</v>
      </c>
      <c r="P401">
        <f t="shared" si="26"/>
        <v>101</v>
      </c>
      <c r="Q401">
        <f t="shared" si="27"/>
        <v>77</v>
      </c>
    </row>
    <row r="402" spans="1:17" x14ac:dyDescent="0.25">
      <c r="A402" t="s">
        <v>598</v>
      </c>
      <c r="B402" s="3">
        <v>46356</v>
      </c>
      <c r="C402" t="s">
        <v>404</v>
      </c>
      <c r="D402" t="s">
        <v>80</v>
      </c>
      <c r="E402" t="s">
        <v>34</v>
      </c>
      <c r="F402" t="s">
        <v>116</v>
      </c>
      <c r="G402">
        <v>3</v>
      </c>
      <c r="H402">
        <v>2650</v>
      </c>
      <c r="I402">
        <v>10</v>
      </c>
      <c r="J402">
        <v>7155</v>
      </c>
      <c r="K402">
        <v>5202.7700000000004</v>
      </c>
      <c r="L402">
        <v>1952.23</v>
      </c>
      <c r="M402" t="s">
        <v>24</v>
      </c>
      <c r="N402">
        <f t="shared" si="24"/>
        <v>3122520</v>
      </c>
      <c r="O402">
        <f t="shared" si="25"/>
        <v>952949.99</v>
      </c>
      <c r="P402">
        <f t="shared" si="26"/>
        <v>100</v>
      </c>
      <c r="Q402">
        <f t="shared" si="27"/>
        <v>77</v>
      </c>
    </row>
    <row r="403" spans="1:17" x14ac:dyDescent="0.25">
      <c r="A403" t="s">
        <v>599</v>
      </c>
      <c r="B403" s="3">
        <v>46186</v>
      </c>
      <c r="C403" t="s">
        <v>385</v>
      </c>
      <c r="D403" t="s">
        <v>75</v>
      </c>
      <c r="E403" t="s">
        <v>28</v>
      </c>
      <c r="F403" t="s">
        <v>49</v>
      </c>
      <c r="G403">
        <v>1</v>
      </c>
      <c r="H403">
        <v>1800</v>
      </c>
      <c r="I403">
        <v>20</v>
      </c>
      <c r="J403">
        <v>1440</v>
      </c>
      <c r="K403">
        <v>949.11</v>
      </c>
      <c r="L403">
        <v>490.89</v>
      </c>
      <c r="M403" t="s">
        <v>63</v>
      </c>
      <c r="N403">
        <f t="shared" si="24"/>
        <v>3115365</v>
      </c>
      <c r="O403">
        <f t="shared" si="25"/>
        <v>950997.75999999989</v>
      </c>
      <c r="P403">
        <f t="shared" si="26"/>
        <v>99</v>
      </c>
      <c r="Q403">
        <f t="shared" si="27"/>
        <v>76</v>
      </c>
    </row>
    <row r="404" spans="1:17" x14ac:dyDescent="0.25">
      <c r="A404" t="s">
        <v>600</v>
      </c>
      <c r="B404" s="3">
        <v>46321</v>
      </c>
      <c r="C404" t="s">
        <v>530</v>
      </c>
      <c r="D404" t="s">
        <v>80</v>
      </c>
      <c r="E404" t="s">
        <v>34</v>
      </c>
      <c r="F404" t="s">
        <v>116</v>
      </c>
      <c r="G404">
        <v>4</v>
      </c>
      <c r="H404">
        <v>3700</v>
      </c>
      <c r="I404">
        <v>15</v>
      </c>
      <c r="J404">
        <v>12580</v>
      </c>
      <c r="K404">
        <v>9421.3799999999992</v>
      </c>
      <c r="L404">
        <v>3158.62</v>
      </c>
      <c r="M404" t="s">
        <v>30</v>
      </c>
      <c r="N404">
        <f t="shared" si="24"/>
        <v>3113925</v>
      </c>
      <c r="O404">
        <f t="shared" si="25"/>
        <v>950506.87</v>
      </c>
      <c r="P404">
        <f t="shared" si="26"/>
        <v>98</v>
      </c>
      <c r="Q404">
        <f t="shared" si="27"/>
        <v>76</v>
      </c>
    </row>
    <row r="405" spans="1:17" x14ac:dyDescent="0.25">
      <c r="A405" t="s">
        <v>601</v>
      </c>
      <c r="B405" s="3">
        <v>46110</v>
      </c>
      <c r="C405" t="s">
        <v>545</v>
      </c>
      <c r="D405" t="s">
        <v>68</v>
      </c>
      <c r="E405" t="s">
        <v>55</v>
      </c>
      <c r="F405" t="s">
        <v>179</v>
      </c>
      <c r="G405">
        <v>4</v>
      </c>
      <c r="H405">
        <v>11500</v>
      </c>
      <c r="I405">
        <v>10</v>
      </c>
      <c r="J405">
        <v>41400</v>
      </c>
      <c r="K405">
        <v>28440.77</v>
      </c>
      <c r="L405">
        <v>12959.23</v>
      </c>
      <c r="M405" t="s">
        <v>30</v>
      </c>
      <c r="N405">
        <f t="shared" si="24"/>
        <v>3101345</v>
      </c>
      <c r="O405">
        <f t="shared" si="25"/>
        <v>947348.25</v>
      </c>
      <c r="P405">
        <f t="shared" si="26"/>
        <v>97</v>
      </c>
      <c r="Q405">
        <f t="shared" si="27"/>
        <v>76</v>
      </c>
    </row>
    <row r="406" spans="1:17" x14ac:dyDescent="0.25">
      <c r="A406" t="s">
        <v>602</v>
      </c>
      <c r="B406" s="3">
        <v>46116</v>
      </c>
      <c r="C406" t="s">
        <v>527</v>
      </c>
      <c r="D406" t="s">
        <v>15</v>
      </c>
      <c r="E406" t="s">
        <v>16</v>
      </c>
      <c r="F406" t="s">
        <v>45</v>
      </c>
      <c r="G406">
        <v>2</v>
      </c>
      <c r="H406">
        <v>35100</v>
      </c>
      <c r="I406">
        <v>20</v>
      </c>
      <c r="J406">
        <v>56160</v>
      </c>
      <c r="K406">
        <v>42456.28</v>
      </c>
      <c r="L406">
        <v>13703.72</v>
      </c>
      <c r="M406" t="s">
        <v>24</v>
      </c>
      <c r="N406">
        <f t="shared" si="24"/>
        <v>3059945</v>
      </c>
      <c r="O406">
        <f t="shared" si="25"/>
        <v>934389.0199999999</v>
      </c>
      <c r="P406">
        <f t="shared" si="26"/>
        <v>96</v>
      </c>
      <c r="Q406">
        <f t="shared" si="27"/>
        <v>75</v>
      </c>
    </row>
    <row r="407" spans="1:17" x14ac:dyDescent="0.25">
      <c r="A407" t="s">
        <v>603</v>
      </c>
      <c r="B407" s="3">
        <v>46322</v>
      </c>
      <c r="C407" t="s">
        <v>250</v>
      </c>
      <c r="D407" t="s">
        <v>59</v>
      </c>
      <c r="E407" t="s">
        <v>34</v>
      </c>
      <c r="F407" t="s">
        <v>35</v>
      </c>
      <c r="G407">
        <v>3</v>
      </c>
      <c r="H407">
        <v>3850</v>
      </c>
      <c r="I407">
        <v>10</v>
      </c>
      <c r="J407">
        <v>10395</v>
      </c>
      <c r="K407">
        <v>6760.43</v>
      </c>
      <c r="L407">
        <v>3634.57</v>
      </c>
      <c r="M407" t="s">
        <v>46</v>
      </c>
      <c r="N407">
        <f t="shared" si="24"/>
        <v>3003785</v>
      </c>
      <c r="O407">
        <f t="shared" si="25"/>
        <v>920685.29999999993</v>
      </c>
      <c r="P407">
        <f t="shared" si="26"/>
        <v>95</v>
      </c>
      <c r="Q407">
        <f t="shared" si="27"/>
        <v>75</v>
      </c>
    </row>
    <row r="408" spans="1:17" x14ac:dyDescent="0.25">
      <c r="A408" t="s">
        <v>604</v>
      </c>
      <c r="B408" s="3">
        <v>46122</v>
      </c>
      <c r="C408" t="s">
        <v>67</v>
      </c>
      <c r="D408" t="s">
        <v>15</v>
      </c>
      <c r="E408" t="s">
        <v>22</v>
      </c>
      <c r="F408" t="s">
        <v>23</v>
      </c>
      <c r="G408">
        <v>5</v>
      </c>
      <c r="H408">
        <v>2600</v>
      </c>
      <c r="I408">
        <v>20</v>
      </c>
      <c r="J408">
        <v>10400</v>
      </c>
      <c r="K408">
        <v>5919.97</v>
      </c>
      <c r="L408">
        <v>4480.03</v>
      </c>
      <c r="M408" t="s">
        <v>63</v>
      </c>
      <c r="N408">
        <f t="shared" si="24"/>
        <v>2993390</v>
      </c>
      <c r="O408">
        <f t="shared" si="25"/>
        <v>917050.73</v>
      </c>
      <c r="P408">
        <f t="shared" si="26"/>
        <v>94</v>
      </c>
      <c r="Q408">
        <f t="shared" si="27"/>
        <v>75</v>
      </c>
    </row>
    <row r="409" spans="1:17" x14ac:dyDescent="0.25">
      <c r="A409" t="s">
        <v>605</v>
      </c>
      <c r="B409" s="3">
        <v>46125</v>
      </c>
      <c r="C409" t="s">
        <v>511</v>
      </c>
      <c r="D409" t="s">
        <v>27</v>
      </c>
      <c r="E409" t="s">
        <v>28</v>
      </c>
      <c r="F409" t="s">
        <v>41</v>
      </c>
      <c r="G409">
        <v>4</v>
      </c>
      <c r="H409">
        <v>250</v>
      </c>
      <c r="I409">
        <v>5</v>
      </c>
      <c r="J409">
        <v>950</v>
      </c>
      <c r="K409">
        <v>557.73</v>
      </c>
      <c r="L409">
        <v>392.27</v>
      </c>
      <c r="M409" t="s">
        <v>18</v>
      </c>
      <c r="N409">
        <f t="shared" si="24"/>
        <v>2982990</v>
      </c>
      <c r="O409">
        <f t="shared" si="25"/>
        <v>912570.7</v>
      </c>
      <c r="P409">
        <f t="shared" si="26"/>
        <v>93</v>
      </c>
      <c r="Q409">
        <f t="shared" si="27"/>
        <v>74</v>
      </c>
    </row>
    <row r="410" spans="1:17" x14ac:dyDescent="0.25">
      <c r="A410" t="s">
        <v>606</v>
      </c>
      <c r="B410" s="3">
        <v>46272</v>
      </c>
      <c r="C410" t="s">
        <v>527</v>
      </c>
      <c r="D410" t="s">
        <v>68</v>
      </c>
      <c r="E410" t="s">
        <v>22</v>
      </c>
      <c r="F410" t="s">
        <v>95</v>
      </c>
      <c r="G410">
        <v>3</v>
      </c>
      <c r="H410">
        <v>3150</v>
      </c>
      <c r="I410">
        <v>5</v>
      </c>
      <c r="J410">
        <v>8977.5</v>
      </c>
      <c r="K410">
        <v>6825.72</v>
      </c>
      <c r="L410">
        <v>2151.7800000000002</v>
      </c>
      <c r="M410" t="s">
        <v>30</v>
      </c>
      <c r="N410">
        <f t="shared" si="24"/>
        <v>2982040</v>
      </c>
      <c r="O410">
        <f t="shared" si="25"/>
        <v>912178.42999999993</v>
      </c>
      <c r="P410">
        <f t="shared" si="26"/>
        <v>92</v>
      </c>
      <c r="Q410">
        <f t="shared" si="27"/>
        <v>73</v>
      </c>
    </row>
    <row r="411" spans="1:17" x14ac:dyDescent="0.25">
      <c r="A411" t="s">
        <v>607</v>
      </c>
      <c r="B411" s="3">
        <v>46109</v>
      </c>
      <c r="C411" t="s">
        <v>217</v>
      </c>
      <c r="D411" t="s">
        <v>68</v>
      </c>
      <c r="E411" t="s">
        <v>16</v>
      </c>
      <c r="F411" t="s">
        <v>17</v>
      </c>
      <c r="G411">
        <v>4</v>
      </c>
      <c r="H411">
        <v>37050</v>
      </c>
      <c r="I411">
        <v>5</v>
      </c>
      <c r="J411">
        <v>140790</v>
      </c>
      <c r="K411">
        <v>106369.97</v>
      </c>
      <c r="L411">
        <v>34420.03</v>
      </c>
      <c r="M411" t="s">
        <v>63</v>
      </c>
      <c r="N411">
        <f t="shared" si="24"/>
        <v>2973062.5</v>
      </c>
      <c r="O411">
        <f t="shared" si="25"/>
        <v>910026.64999999991</v>
      </c>
      <c r="P411">
        <f t="shared" si="26"/>
        <v>91</v>
      </c>
      <c r="Q411">
        <f t="shared" si="27"/>
        <v>72</v>
      </c>
    </row>
    <row r="412" spans="1:17" x14ac:dyDescent="0.25">
      <c r="A412" t="s">
        <v>608</v>
      </c>
      <c r="B412" s="3">
        <v>46267</v>
      </c>
      <c r="C412" t="s">
        <v>380</v>
      </c>
      <c r="D412" t="s">
        <v>75</v>
      </c>
      <c r="E412" t="s">
        <v>16</v>
      </c>
      <c r="F412" t="s">
        <v>107</v>
      </c>
      <c r="G412">
        <v>5</v>
      </c>
      <c r="H412">
        <v>58050</v>
      </c>
      <c r="I412">
        <v>15</v>
      </c>
      <c r="J412">
        <v>246712.5</v>
      </c>
      <c r="K412">
        <v>162562.87</v>
      </c>
      <c r="L412">
        <v>84149.63</v>
      </c>
      <c r="M412" t="s">
        <v>46</v>
      </c>
      <c r="N412">
        <f t="shared" si="24"/>
        <v>2832272.5</v>
      </c>
      <c r="O412">
        <f t="shared" si="25"/>
        <v>875606.62</v>
      </c>
      <c r="P412">
        <f t="shared" si="26"/>
        <v>90</v>
      </c>
      <c r="Q412">
        <f t="shared" si="27"/>
        <v>72</v>
      </c>
    </row>
    <row r="413" spans="1:17" x14ac:dyDescent="0.25">
      <c r="A413" t="s">
        <v>609</v>
      </c>
      <c r="B413" s="3">
        <v>46294</v>
      </c>
      <c r="C413" t="s">
        <v>343</v>
      </c>
      <c r="D413" t="s">
        <v>75</v>
      </c>
      <c r="E413" t="s">
        <v>28</v>
      </c>
      <c r="F413" t="s">
        <v>49</v>
      </c>
      <c r="G413">
        <v>3</v>
      </c>
      <c r="H413">
        <v>200</v>
      </c>
      <c r="I413">
        <v>10</v>
      </c>
      <c r="J413">
        <v>540</v>
      </c>
      <c r="K413">
        <v>407.35</v>
      </c>
      <c r="L413">
        <v>132.65</v>
      </c>
      <c r="M413" t="s">
        <v>46</v>
      </c>
      <c r="N413">
        <f t="shared" si="24"/>
        <v>2585560</v>
      </c>
      <c r="O413">
        <f t="shared" si="25"/>
        <v>791456.99000000011</v>
      </c>
      <c r="P413">
        <f t="shared" si="26"/>
        <v>89</v>
      </c>
      <c r="Q413">
        <f t="shared" si="27"/>
        <v>72</v>
      </c>
    </row>
    <row r="414" spans="1:17" x14ac:dyDescent="0.25">
      <c r="A414" t="s">
        <v>610</v>
      </c>
      <c r="B414" s="3">
        <v>46280</v>
      </c>
      <c r="C414" t="s">
        <v>489</v>
      </c>
      <c r="D414" t="s">
        <v>68</v>
      </c>
      <c r="E414" t="s">
        <v>55</v>
      </c>
      <c r="F414" t="s">
        <v>97</v>
      </c>
      <c r="G414">
        <v>3</v>
      </c>
      <c r="H414">
        <v>5600</v>
      </c>
      <c r="I414">
        <v>5</v>
      </c>
      <c r="J414">
        <v>15960</v>
      </c>
      <c r="K414">
        <v>9220.59</v>
      </c>
      <c r="L414">
        <v>6739.41</v>
      </c>
      <c r="M414" t="s">
        <v>46</v>
      </c>
      <c r="N414">
        <f t="shared" si="24"/>
        <v>2585020</v>
      </c>
      <c r="O414">
        <f t="shared" si="25"/>
        <v>791324.34000000008</v>
      </c>
      <c r="P414">
        <f t="shared" si="26"/>
        <v>88</v>
      </c>
      <c r="Q414">
        <f t="shared" si="27"/>
        <v>71</v>
      </c>
    </row>
    <row r="415" spans="1:17" x14ac:dyDescent="0.25">
      <c r="A415" t="s">
        <v>611</v>
      </c>
      <c r="B415" s="3">
        <v>46195</v>
      </c>
      <c r="C415" t="s">
        <v>136</v>
      </c>
      <c r="D415" t="s">
        <v>68</v>
      </c>
      <c r="E415" t="s">
        <v>16</v>
      </c>
      <c r="F415" t="s">
        <v>72</v>
      </c>
      <c r="G415">
        <v>3</v>
      </c>
      <c r="H415">
        <v>60950</v>
      </c>
      <c r="I415">
        <v>20</v>
      </c>
      <c r="J415">
        <v>146280</v>
      </c>
      <c r="K415">
        <v>104007.99</v>
      </c>
      <c r="L415">
        <v>42272.01</v>
      </c>
      <c r="M415" t="s">
        <v>30</v>
      </c>
      <c r="N415">
        <f t="shared" si="24"/>
        <v>2569060</v>
      </c>
      <c r="O415">
        <f t="shared" si="25"/>
        <v>784584.93</v>
      </c>
      <c r="P415">
        <f t="shared" si="26"/>
        <v>87</v>
      </c>
      <c r="Q415">
        <f t="shared" si="27"/>
        <v>71</v>
      </c>
    </row>
    <row r="416" spans="1:17" x14ac:dyDescent="0.25">
      <c r="A416" t="s">
        <v>612</v>
      </c>
      <c r="B416" s="3">
        <v>46137</v>
      </c>
      <c r="C416" t="s">
        <v>272</v>
      </c>
      <c r="D416" t="s">
        <v>80</v>
      </c>
      <c r="E416" t="s">
        <v>22</v>
      </c>
      <c r="F416" t="s">
        <v>83</v>
      </c>
      <c r="G416">
        <v>2</v>
      </c>
      <c r="H416">
        <v>900</v>
      </c>
      <c r="I416">
        <v>15</v>
      </c>
      <c r="J416">
        <v>1530</v>
      </c>
      <c r="K416">
        <v>849.4</v>
      </c>
      <c r="L416">
        <v>680.6</v>
      </c>
      <c r="M416" t="s">
        <v>46</v>
      </c>
      <c r="N416">
        <f t="shared" si="24"/>
        <v>2422780</v>
      </c>
      <c r="O416">
        <f t="shared" si="25"/>
        <v>742312.92</v>
      </c>
      <c r="P416">
        <f t="shared" si="26"/>
        <v>86</v>
      </c>
      <c r="Q416">
        <f t="shared" si="27"/>
        <v>70</v>
      </c>
    </row>
    <row r="417" spans="1:17" x14ac:dyDescent="0.25">
      <c r="A417" t="s">
        <v>613</v>
      </c>
      <c r="B417" s="3">
        <v>46042</v>
      </c>
      <c r="C417" t="s">
        <v>234</v>
      </c>
      <c r="D417" t="s">
        <v>44</v>
      </c>
      <c r="E417" t="s">
        <v>28</v>
      </c>
      <c r="F417" t="s">
        <v>86</v>
      </c>
      <c r="G417">
        <v>2</v>
      </c>
      <c r="H417">
        <v>400</v>
      </c>
      <c r="I417">
        <v>10</v>
      </c>
      <c r="J417">
        <v>720</v>
      </c>
      <c r="K417">
        <v>534.24</v>
      </c>
      <c r="L417">
        <v>185.76</v>
      </c>
      <c r="M417" t="s">
        <v>18</v>
      </c>
      <c r="N417">
        <f t="shared" si="24"/>
        <v>2421250</v>
      </c>
      <c r="O417">
        <f t="shared" si="25"/>
        <v>741632.32000000007</v>
      </c>
      <c r="P417">
        <f t="shared" si="26"/>
        <v>85</v>
      </c>
      <c r="Q417">
        <f t="shared" si="27"/>
        <v>70</v>
      </c>
    </row>
    <row r="418" spans="1:17" x14ac:dyDescent="0.25">
      <c r="A418" t="s">
        <v>614</v>
      </c>
      <c r="B418" s="3">
        <v>46033</v>
      </c>
      <c r="C418" t="s">
        <v>427</v>
      </c>
      <c r="D418" t="s">
        <v>15</v>
      </c>
      <c r="E418" t="s">
        <v>28</v>
      </c>
      <c r="F418" t="s">
        <v>78</v>
      </c>
      <c r="G418">
        <v>5</v>
      </c>
      <c r="H418">
        <v>250</v>
      </c>
      <c r="I418">
        <v>0</v>
      </c>
      <c r="J418">
        <v>1250</v>
      </c>
      <c r="K418">
        <v>908.08</v>
      </c>
      <c r="L418">
        <v>341.92</v>
      </c>
      <c r="M418" t="s">
        <v>63</v>
      </c>
      <c r="N418">
        <f t="shared" si="24"/>
        <v>2420530</v>
      </c>
      <c r="O418">
        <f t="shared" si="25"/>
        <v>741446.56</v>
      </c>
      <c r="P418">
        <f t="shared" si="26"/>
        <v>84</v>
      </c>
      <c r="Q418">
        <f t="shared" si="27"/>
        <v>69</v>
      </c>
    </row>
    <row r="419" spans="1:17" x14ac:dyDescent="0.25">
      <c r="A419" t="s">
        <v>615</v>
      </c>
      <c r="B419" s="3">
        <v>46101</v>
      </c>
      <c r="C419" t="s">
        <v>418</v>
      </c>
      <c r="D419" t="s">
        <v>75</v>
      </c>
      <c r="E419" t="s">
        <v>22</v>
      </c>
      <c r="F419" t="s">
        <v>165</v>
      </c>
      <c r="G419">
        <v>1</v>
      </c>
      <c r="H419">
        <v>2450</v>
      </c>
      <c r="I419">
        <v>10</v>
      </c>
      <c r="J419">
        <v>2205</v>
      </c>
      <c r="K419">
        <v>1495.18</v>
      </c>
      <c r="L419">
        <v>709.82</v>
      </c>
      <c r="M419" t="s">
        <v>30</v>
      </c>
      <c r="N419">
        <f t="shared" si="24"/>
        <v>2419280</v>
      </c>
      <c r="O419">
        <f t="shared" si="25"/>
        <v>741104.64000000013</v>
      </c>
      <c r="P419">
        <f t="shared" si="26"/>
        <v>83</v>
      </c>
      <c r="Q419">
        <f t="shared" si="27"/>
        <v>68</v>
      </c>
    </row>
    <row r="420" spans="1:17" x14ac:dyDescent="0.25">
      <c r="A420" t="s">
        <v>616</v>
      </c>
      <c r="B420" s="3">
        <v>46093</v>
      </c>
      <c r="C420" t="s">
        <v>143</v>
      </c>
      <c r="D420" t="s">
        <v>15</v>
      </c>
      <c r="E420" t="s">
        <v>22</v>
      </c>
      <c r="F420" t="s">
        <v>23</v>
      </c>
      <c r="G420">
        <v>5</v>
      </c>
      <c r="H420">
        <v>1300</v>
      </c>
      <c r="I420">
        <v>20</v>
      </c>
      <c r="J420">
        <v>5200</v>
      </c>
      <c r="K420">
        <v>3710.31</v>
      </c>
      <c r="L420">
        <v>1489.69</v>
      </c>
      <c r="M420" t="s">
        <v>18</v>
      </c>
      <c r="N420">
        <f t="shared" si="24"/>
        <v>2417075</v>
      </c>
      <c r="O420">
        <f t="shared" si="25"/>
        <v>740394.82000000018</v>
      </c>
      <c r="P420">
        <f t="shared" si="26"/>
        <v>82</v>
      </c>
      <c r="Q420">
        <f t="shared" si="27"/>
        <v>68</v>
      </c>
    </row>
    <row r="421" spans="1:17" x14ac:dyDescent="0.25">
      <c r="A421" t="s">
        <v>617</v>
      </c>
      <c r="B421" s="3">
        <v>46334</v>
      </c>
      <c r="C421" t="s">
        <v>174</v>
      </c>
      <c r="D421" t="s">
        <v>44</v>
      </c>
      <c r="E421" t="s">
        <v>28</v>
      </c>
      <c r="F421" t="s">
        <v>78</v>
      </c>
      <c r="G421">
        <v>3</v>
      </c>
      <c r="H421">
        <v>400</v>
      </c>
      <c r="I421">
        <v>0</v>
      </c>
      <c r="J421">
        <v>1200</v>
      </c>
      <c r="K421">
        <v>821.27</v>
      </c>
      <c r="L421">
        <v>378.73</v>
      </c>
      <c r="M421" t="s">
        <v>18</v>
      </c>
      <c r="N421">
        <f t="shared" si="24"/>
        <v>2411875</v>
      </c>
      <c r="O421">
        <f t="shared" si="25"/>
        <v>738905.13000000024</v>
      </c>
      <c r="P421">
        <f t="shared" si="26"/>
        <v>81</v>
      </c>
      <c r="Q421">
        <f t="shared" si="27"/>
        <v>68</v>
      </c>
    </row>
    <row r="422" spans="1:17" x14ac:dyDescent="0.25">
      <c r="A422" t="s">
        <v>618</v>
      </c>
      <c r="B422" s="3">
        <v>46277</v>
      </c>
      <c r="C422" t="s">
        <v>43</v>
      </c>
      <c r="D422" t="s">
        <v>59</v>
      </c>
      <c r="E422" t="s">
        <v>55</v>
      </c>
      <c r="F422" t="s">
        <v>141</v>
      </c>
      <c r="G422">
        <v>4</v>
      </c>
      <c r="H422">
        <v>5350</v>
      </c>
      <c r="I422">
        <v>5</v>
      </c>
      <c r="J422">
        <v>20330</v>
      </c>
      <c r="K422">
        <v>11397.8</v>
      </c>
      <c r="L422">
        <v>8932.2000000000007</v>
      </c>
      <c r="M422" t="s">
        <v>30</v>
      </c>
      <c r="N422">
        <f t="shared" si="24"/>
        <v>2410675</v>
      </c>
      <c r="O422">
        <f t="shared" si="25"/>
        <v>738526.40000000014</v>
      </c>
      <c r="P422">
        <f t="shared" si="26"/>
        <v>80</v>
      </c>
      <c r="Q422">
        <f t="shared" si="27"/>
        <v>67</v>
      </c>
    </row>
    <row r="423" spans="1:17" x14ac:dyDescent="0.25">
      <c r="A423" t="s">
        <v>619</v>
      </c>
      <c r="B423" s="3">
        <v>46316</v>
      </c>
      <c r="C423" t="s">
        <v>620</v>
      </c>
      <c r="D423" t="s">
        <v>68</v>
      </c>
      <c r="E423" t="s">
        <v>55</v>
      </c>
      <c r="F423" t="s">
        <v>132</v>
      </c>
      <c r="G423">
        <v>1</v>
      </c>
      <c r="H423">
        <v>11500</v>
      </c>
      <c r="I423">
        <v>0</v>
      </c>
      <c r="J423">
        <v>11500</v>
      </c>
      <c r="K423">
        <v>9140.86</v>
      </c>
      <c r="L423">
        <v>2359.14</v>
      </c>
      <c r="M423" t="s">
        <v>46</v>
      </c>
      <c r="N423">
        <f t="shared" si="24"/>
        <v>2390345</v>
      </c>
      <c r="O423">
        <f t="shared" si="25"/>
        <v>729594.20000000019</v>
      </c>
      <c r="P423">
        <f t="shared" si="26"/>
        <v>79</v>
      </c>
      <c r="Q423">
        <f t="shared" si="27"/>
        <v>66</v>
      </c>
    </row>
    <row r="424" spans="1:17" x14ac:dyDescent="0.25">
      <c r="A424" t="s">
        <v>621</v>
      </c>
      <c r="B424" s="3">
        <v>46174</v>
      </c>
      <c r="C424" t="s">
        <v>260</v>
      </c>
      <c r="D424" t="s">
        <v>59</v>
      </c>
      <c r="E424" t="s">
        <v>28</v>
      </c>
      <c r="F424" t="s">
        <v>78</v>
      </c>
      <c r="G424">
        <v>1</v>
      </c>
      <c r="H424">
        <v>650</v>
      </c>
      <c r="I424">
        <v>5</v>
      </c>
      <c r="J424">
        <v>617.5</v>
      </c>
      <c r="K424">
        <v>415.78</v>
      </c>
      <c r="L424">
        <v>201.72</v>
      </c>
      <c r="M424" t="s">
        <v>46</v>
      </c>
      <c r="N424">
        <f t="shared" si="24"/>
        <v>2378845</v>
      </c>
      <c r="O424">
        <f t="shared" si="25"/>
        <v>727235.06000000017</v>
      </c>
      <c r="P424">
        <f t="shared" si="26"/>
        <v>78</v>
      </c>
      <c r="Q424">
        <f t="shared" si="27"/>
        <v>65</v>
      </c>
    </row>
    <row r="425" spans="1:17" x14ac:dyDescent="0.25">
      <c r="A425" t="s">
        <v>622</v>
      </c>
      <c r="B425" s="3">
        <v>46183</v>
      </c>
      <c r="C425" t="s">
        <v>155</v>
      </c>
      <c r="D425" t="s">
        <v>15</v>
      </c>
      <c r="E425" t="s">
        <v>16</v>
      </c>
      <c r="F425" t="s">
        <v>107</v>
      </c>
      <c r="G425">
        <v>1</v>
      </c>
      <c r="H425">
        <v>39300</v>
      </c>
      <c r="I425">
        <v>10</v>
      </c>
      <c r="J425">
        <v>35370</v>
      </c>
      <c r="K425">
        <v>27108.66</v>
      </c>
      <c r="L425">
        <v>8261.34</v>
      </c>
      <c r="M425" t="s">
        <v>46</v>
      </c>
      <c r="N425">
        <f t="shared" si="24"/>
        <v>2378227.5</v>
      </c>
      <c r="O425">
        <f t="shared" si="25"/>
        <v>727033.3400000002</v>
      </c>
      <c r="P425">
        <f t="shared" si="26"/>
        <v>77</v>
      </c>
      <c r="Q425">
        <f t="shared" si="27"/>
        <v>64</v>
      </c>
    </row>
    <row r="426" spans="1:17" x14ac:dyDescent="0.25">
      <c r="A426" t="s">
        <v>623</v>
      </c>
      <c r="B426" s="3">
        <v>46247</v>
      </c>
      <c r="C426" t="s">
        <v>65</v>
      </c>
      <c r="D426" t="s">
        <v>15</v>
      </c>
      <c r="E426" t="s">
        <v>16</v>
      </c>
      <c r="F426" t="s">
        <v>17</v>
      </c>
      <c r="G426">
        <v>2</v>
      </c>
      <c r="H426">
        <v>23550</v>
      </c>
      <c r="I426">
        <v>10</v>
      </c>
      <c r="J426">
        <v>42390</v>
      </c>
      <c r="K426">
        <v>27406.51</v>
      </c>
      <c r="L426">
        <v>14983.49</v>
      </c>
      <c r="M426" t="s">
        <v>30</v>
      </c>
      <c r="N426">
        <f t="shared" si="24"/>
        <v>2342857.5</v>
      </c>
      <c r="O426">
        <f t="shared" si="25"/>
        <v>718772.00000000023</v>
      </c>
      <c r="P426">
        <f t="shared" si="26"/>
        <v>76</v>
      </c>
      <c r="Q426">
        <f t="shared" si="27"/>
        <v>63</v>
      </c>
    </row>
    <row r="427" spans="1:17" x14ac:dyDescent="0.25">
      <c r="A427" t="s">
        <v>624</v>
      </c>
      <c r="B427" s="3">
        <v>46162</v>
      </c>
      <c r="C427" t="s">
        <v>380</v>
      </c>
      <c r="D427" t="s">
        <v>59</v>
      </c>
      <c r="E427" t="s">
        <v>34</v>
      </c>
      <c r="F427" t="s">
        <v>35</v>
      </c>
      <c r="G427">
        <v>1</v>
      </c>
      <c r="H427">
        <v>3700</v>
      </c>
      <c r="I427">
        <v>15</v>
      </c>
      <c r="J427">
        <v>3145</v>
      </c>
      <c r="K427">
        <v>2546.9</v>
      </c>
      <c r="L427">
        <v>598.1</v>
      </c>
      <c r="M427" t="s">
        <v>63</v>
      </c>
      <c r="N427">
        <f t="shared" si="24"/>
        <v>2300467.5</v>
      </c>
      <c r="O427">
        <f t="shared" si="25"/>
        <v>703788.51000000013</v>
      </c>
      <c r="P427">
        <f t="shared" si="26"/>
        <v>75</v>
      </c>
      <c r="Q427">
        <f t="shared" si="27"/>
        <v>62</v>
      </c>
    </row>
    <row r="428" spans="1:17" x14ac:dyDescent="0.25">
      <c r="A428" t="s">
        <v>625</v>
      </c>
      <c r="B428" s="3">
        <v>46104</v>
      </c>
      <c r="C428" t="s">
        <v>220</v>
      </c>
      <c r="D428" t="s">
        <v>27</v>
      </c>
      <c r="E428" t="s">
        <v>55</v>
      </c>
      <c r="F428" t="s">
        <v>132</v>
      </c>
      <c r="G428">
        <v>2</v>
      </c>
      <c r="H428">
        <v>11900</v>
      </c>
      <c r="I428">
        <v>0</v>
      </c>
      <c r="J428">
        <v>23800</v>
      </c>
      <c r="K428">
        <v>19397.560000000001</v>
      </c>
      <c r="L428">
        <v>4402.4399999999996</v>
      </c>
      <c r="M428" t="s">
        <v>18</v>
      </c>
      <c r="N428">
        <f t="shared" si="24"/>
        <v>2297322.5</v>
      </c>
      <c r="O428">
        <f t="shared" si="25"/>
        <v>703190.41000000015</v>
      </c>
      <c r="P428">
        <f t="shared" si="26"/>
        <v>74</v>
      </c>
      <c r="Q428">
        <f t="shared" si="27"/>
        <v>61</v>
      </c>
    </row>
    <row r="429" spans="1:17" x14ac:dyDescent="0.25">
      <c r="A429" t="s">
        <v>626</v>
      </c>
      <c r="B429" s="3">
        <v>46206</v>
      </c>
      <c r="C429" t="s">
        <v>291</v>
      </c>
      <c r="D429" t="s">
        <v>68</v>
      </c>
      <c r="E429" t="s">
        <v>22</v>
      </c>
      <c r="F429" t="s">
        <v>104</v>
      </c>
      <c r="G429">
        <v>4</v>
      </c>
      <c r="H429">
        <v>950</v>
      </c>
      <c r="I429">
        <v>20</v>
      </c>
      <c r="J429">
        <v>3040</v>
      </c>
      <c r="K429">
        <v>1983.7</v>
      </c>
      <c r="L429">
        <v>1056.3</v>
      </c>
      <c r="M429" t="s">
        <v>63</v>
      </c>
      <c r="N429">
        <f t="shared" si="24"/>
        <v>2273522.5</v>
      </c>
      <c r="O429">
        <f t="shared" si="25"/>
        <v>698787.97000000009</v>
      </c>
      <c r="P429">
        <f t="shared" si="26"/>
        <v>73</v>
      </c>
      <c r="Q429">
        <f t="shared" si="27"/>
        <v>61</v>
      </c>
    </row>
    <row r="430" spans="1:17" x14ac:dyDescent="0.25">
      <c r="A430" t="s">
        <v>627</v>
      </c>
      <c r="B430" s="3">
        <v>46358</v>
      </c>
      <c r="C430" t="s">
        <v>109</v>
      </c>
      <c r="D430" t="s">
        <v>75</v>
      </c>
      <c r="E430" t="s">
        <v>22</v>
      </c>
      <c r="F430" t="s">
        <v>23</v>
      </c>
      <c r="G430">
        <v>4</v>
      </c>
      <c r="H430">
        <v>2000</v>
      </c>
      <c r="I430">
        <v>0</v>
      </c>
      <c r="J430">
        <v>8000</v>
      </c>
      <c r="K430">
        <v>4536.8100000000004</v>
      </c>
      <c r="L430">
        <v>3463.19</v>
      </c>
      <c r="M430" t="s">
        <v>18</v>
      </c>
      <c r="N430">
        <f t="shared" si="24"/>
        <v>2270482.5</v>
      </c>
      <c r="O430">
        <f t="shared" si="25"/>
        <v>697731.67000000016</v>
      </c>
      <c r="P430">
        <f t="shared" si="26"/>
        <v>72</v>
      </c>
      <c r="Q430">
        <f t="shared" si="27"/>
        <v>61</v>
      </c>
    </row>
    <row r="431" spans="1:17" x14ac:dyDescent="0.25">
      <c r="A431" t="s">
        <v>628</v>
      </c>
      <c r="B431" s="3">
        <v>46375</v>
      </c>
      <c r="C431" t="s">
        <v>89</v>
      </c>
      <c r="D431" t="s">
        <v>27</v>
      </c>
      <c r="E431" t="s">
        <v>28</v>
      </c>
      <c r="F431" t="s">
        <v>86</v>
      </c>
      <c r="G431">
        <v>2</v>
      </c>
      <c r="H431">
        <v>1500</v>
      </c>
      <c r="I431">
        <v>10</v>
      </c>
      <c r="J431">
        <v>2700</v>
      </c>
      <c r="K431">
        <v>1863.42</v>
      </c>
      <c r="L431">
        <v>836.58</v>
      </c>
      <c r="M431" t="s">
        <v>24</v>
      </c>
      <c r="N431">
        <f t="shared" si="24"/>
        <v>2262482.5</v>
      </c>
      <c r="O431">
        <f t="shared" si="25"/>
        <v>694268.4800000001</v>
      </c>
      <c r="P431">
        <f t="shared" si="26"/>
        <v>71</v>
      </c>
      <c r="Q431">
        <f t="shared" si="27"/>
        <v>61</v>
      </c>
    </row>
    <row r="432" spans="1:17" x14ac:dyDescent="0.25">
      <c r="A432" t="s">
        <v>629</v>
      </c>
      <c r="B432" s="3">
        <v>46336</v>
      </c>
      <c r="C432" t="s">
        <v>120</v>
      </c>
      <c r="D432" t="s">
        <v>75</v>
      </c>
      <c r="E432" t="s">
        <v>22</v>
      </c>
      <c r="F432" t="s">
        <v>83</v>
      </c>
      <c r="G432">
        <v>4</v>
      </c>
      <c r="H432">
        <v>800</v>
      </c>
      <c r="I432">
        <v>20</v>
      </c>
      <c r="J432">
        <v>2560</v>
      </c>
      <c r="K432">
        <v>2024.59</v>
      </c>
      <c r="L432">
        <v>535.41</v>
      </c>
      <c r="M432" t="s">
        <v>24</v>
      </c>
      <c r="N432">
        <f t="shared" si="24"/>
        <v>2259782.5</v>
      </c>
      <c r="O432">
        <f t="shared" si="25"/>
        <v>693431.90000000014</v>
      </c>
      <c r="P432">
        <f t="shared" si="26"/>
        <v>70</v>
      </c>
      <c r="Q432">
        <f t="shared" si="27"/>
        <v>60</v>
      </c>
    </row>
    <row r="433" spans="1:17" x14ac:dyDescent="0.25">
      <c r="A433" t="s">
        <v>630</v>
      </c>
      <c r="B433" s="3">
        <v>46187</v>
      </c>
      <c r="C433" t="s">
        <v>74</v>
      </c>
      <c r="D433" t="s">
        <v>33</v>
      </c>
      <c r="E433" t="s">
        <v>28</v>
      </c>
      <c r="F433" t="s">
        <v>29</v>
      </c>
      <c r="G433">
        <v>4</v>
      </c>
      <c r="H433">
        <v>500</v>
      </c>
      <c r="I433">
        <v>0</v>
      </c>
      <c r="J433">
        <v>2000</v>
      </c>
      <c r="K433">
        <v>1505.77</v>
      </c>
      <c r="L433">
        <v>494.23</v>
      </c>
      <c r="M433" t="s">
        <v>30</v>
      </c>
      <c r="N433">
        <f t="shared" si="24"/>
        <v>2257222.5</v>
      </c>
      <c r="O433">
        <f t="shared" si="25"/>
        <v>692896.49000000011</v>
      </c>
      <c r="P433">
        <f t="shared" si="26"/>
        <v>69</v>
      </c>
      <c r="Q433">
        <f t="shared" si="27"/>
        <v>60</v>
      </c>
    </row>
    <row r="434" spans="1:17" x14ac:dyDescent="0.25">
      <c r="A434" t="s">
        <v>631</v>
      </c>
      <c r="B434" s="3">
        <v>46143</v>
      </c>
      <c r="C434" t="s">
        <v>37</v>
      </c>
      <c r="D434" t="s">
        <v>59</v>
      </c>
      <c r="E434" t="s">
        <v>16</v>
      </c>
      <c r="F434" t="s">
        <v>240</v>
      </c>
      <c r="G434">
        <v>2</v>
      </c>
      <c r="H434">
        <v>73350</v>
      </c>
      <c r="I434">
        <v>15</v>
      </c>
      <c r="J434">
        <v>124695</v>
      </c>
      <c r="K434">
        <v>82159.64</v>
      </c>
      <c r="L434">
        <v>42535.360000000001</v>
      </c>
      <c r="M434" t="s">
        <v>63</v>
      </c>
      <c r="N434">
        <f t="shared" si="24"/>
        <v>2255222.5</v>
      </c>
      <c r="O434">
        <f t="shared" si="25"/>
        <v>692402.26000000013</v>
      </c>
      <c r="P434">
        <f t="shared" si="26"/>
        <v>68</v>
      </c>
      <c r="Q434">
        <f t="shared" si="27"/>
        <v>59</v>
      </c>
    </row>
    <row r="435" spans="1:17" x14ac:dyDescent="0.25">
      <c r="A435" t="s">
        <v>632</v>
      </c>
      <c r="B435" s="3">
        <v>46277</v>
      </c>
      <c r="C435" t="s">
        <v>172</v>
      </c>
      <c r="D435" t="s">
        <v>15</v>
      </c>
      <c r="E435" t="s">
        <v>28</v>
      </c>
      <c r="F435" t="s">
        <v>29</v>
      </c>
      <c r="G435">
        <v>1</v>
      </c>
      <c r="H435">
        <v>1150</v>
      </c>
      <c r="I435">
        <v>15</v>
      </c>
      <c r="J435">
        <v>977.5</v>
      </c>
      <c r="K435">
        <v>621.04</v>
      </c>
      <c r="L435">
        <v>356.46</v>
      </c>
      <c r="M435" t="s">
        <v>63</v>
      </c>
      <c r="N435">
        <f t="shared" si="24"/>
        <v>2130527.5</v>
      </c>
      <c r="O435">
        <f t="shared" si="25"/>
        <v>649866.90000000014</v>
      </c>
      <c r="P435">
        <f t="shared" si="26"/>
        <v>67</v>
      </c>
      <c r="Q435">
        <f t="shared" si="27"/>
        <v>58</v>
      </c>
    </row>
    <row r="436" spans="1:17" x14ac:dyDescent="0.25">
      <c r="A436" t="s">
        <v>633</v>
      </c>
      <c r="B436" s="3">
        <v>46332</v>
      </c>
      <c r="C436" t="s">
        <v>200</v>
      </c>
      <c r="D436" t="s">
        <v>21</v>
      </c>
      <c r="E436" t="s">
        <v>22</v>
      </c>
      <c r="F436" t="s">
        <v>23</v>
      </c>
      <c r="G436">
        <v>5</v>
      </c>
      <c r="H436">
        <v>2450</v>
      </c>
      <c r="I436">
        <v>0</v>
      </c>
      <c r="J436">
        <v>12250</v>
      </c>
      <c r="K436">
        <v>9469.19</v>
      </c>
      <c r="L436">
        <v>2780.81</v>
      </c>
      <c r="M436" t="s">
        <v>18</v>
      </c>
      <c r="N436">
        <f t="shared" si="24"/>
        <v>2129550</v>
      </c>
      <c r="O436">
        <f t="shared" si="25"/>
        <v>649510.44000000018</v>
      </c>
      <c r="P436">
        <f t="shared" si="26"/>
        <v>66</v>
      </c>
      <c r="Q436">
        <f t="shared" si="27"/>
        <v>58</v>
      </c>
    </row>
    <row r="437" spans="1:17" x14ac:dyDescent="0.25">
      <c r="A437" t="s">
        <v>634</v>
      </c>
      <c r="B437" s="3">
        <v>46255</v>
      </c>
      <c r="C437" t="s">
        <v>238</v>
      </c>
      <c r="D437" t="s">
        <v>21</v>
      </c>
      <c r="E437" t="s">
        <v>55</v>
      </c>
      <c r="F437" t="s">
        <v>56</v>
      </c>
      <c r="G437">
        <v>3</v>
      </c>
      <c r="H437">
        <v>6450</v>
      </c>
      <c r="I437">
        <v>0</v>
      </c>
      <c r="J437">
        <v>19350</v>
      </c>
      <c r="K437">
        <v>14908.77</v>
      </c>
      <c r="L437">
        <v>4441.2299999999996</v>
      </c>
      <c r="M437" t="s">
        <v>18</v>
      </c>
      <c r="N437">
        <f t="shared" si="24"/>
        <v>2117300</v>
      </c>
      <c r="O437">
        <f t="shared" si="25"/>
        <v>646729.63000000012</v>
      </c>
      <c r="P437">
        <f t="shared" si="26"/>
        <v>65</v>
      </c>
      <c r="Q437">
        <f t="shared" si="27"/>
        <v>57</v>
      </c>
    </row>
    <row r="438" spans="1:17" x14ac:dyDescent="0.25">
      <c r="A438" t="s">
        <v>635</v>
      </c>
      <c r="B438" s="3">
        <v>46360</v>
      </c>
      <c r="C438" t="s">
        <v>297</v>
      </c>
      <c r="D438" t="s">
        <v>75</v>
      </c>
      <c r="E438" t="s">
        <v>28</v>
      </c>
      <c r="F438" t="s">
        <v>29</v>
      </c>
      <c r="G438">
        <v>3</v>
      </c>
      <c r="H438">
        <v>1600</v>
      </c>
      <c r="I438">
        <v>15</v>
      </c>
      <c r="J438">
        <v>4080</v>
      </c>
      <c r="K438">
        <v>2369.61</v>
      </c>
      <c r="L438">
        <v>1710.39</v>
      </c>
      <c r="M438" t="s">
        <v>30</v>
      </c>
      <c r="N438">
        <f t="shared" si="24"/>
        <v>2097950</v>
      </c>
      <c r="O438">
        <f t="shared" si="25"/>
        <v>642288.40000000014</v>
      </c>
      <c r="P438">
        <f t="shared" si="26"/>
        <v>64</v>
      </c>
      <c r="Q438">
        <f t="shared" si="27"/>
        <v>57</v>
      </c>
    </row>
    <row r="439" spans="1:17" x14ac:dyDescent="0.25">
      <c r="A439" t="s">
        <v>636</v>
      </c>
      <c r="B439" s="3">
        <v>46046</v>
      </c>
      <c r="C439" t="s">
        <v>323</v>
      </c>
      <c r="D439" t="s">
        <v>59</v>
      </c>
      <c r="E439" t="s">
        <v>34</v>
      </c>
      <c r="F439" t="s">
        <v>116</v>
      </c>
      <c r="G439">
        <v>5</v>
      </c>
      <c r="H439">
        <v>4700</v>
      </c>
      <c r="I439">
        <v>10</v>
      </c>
      <c r="J439">
        <v>21150</v>
      </c>
      <c r="K439">
        <v>15641.82</v>
      </c>
      <c r="L439">
        <v>5508.18</v>
      </c>
      <c r="M439" t="s">
        <v>24</v>
      </c>
      <c r="N439">
        <f t="shared" si="24"/>
        <v>2093870</v>
      </c>
      <c r="O439">
        <f t="shared" si="25"/>
        <v>640578.01000000013</v>
      </c>
      <c r="P439">
        <f t="shared" si="26"/>
        <v>63</v>
      </c>
      <c r="Q439">
        <f t="shared" si="27"/>
        <v>56</v>
      </c>
    </row>
    <row r="440" spans="1:17" x14ac:dyDescent="0.25">
      <c r="A440" t="s">
        <v>637</v>
      </c>
      <c r="B440" s="3">
        <v>46224</v>
      </c>
      <c r="C440" t="s">
        <v>376</v>
      </c>
      <c r="D440" t="s">
        <v>59</v>
      </c>
      <c r="E440" t="s">
        <v>22</v>
      </c>
      <c r="F440" t="s">
        <v>23</v>
      </c>
      <c r="G440">
        <v>3</v>
      </c>
      <c r="H440">
        <v>2700</v>
      </c>
      <c r="I440">
        <v>5</v>
      </c>
      <c r="J440">
        <v>7695</v>
      </c>
      <c r="K440">
        <v>4621.8999999999996</v>
      </c>
      <c r="L440">
        <v>3073.1</v>
      </c>
      <c r="M440" t="s">
        <v>24</v>
      </c>
      <c r="N440">
        <f t="shared" si="24"/>
        <v>2072720</v>
      </c>
      <c r="O440">
        <f t="shared" si="25"/>
        <v>635069.83000000007</v>
      </c>
      <c r="P440">
        <f t="shared" si="26"/>
        <v>62</v>
      </c>
      <c r="Q440">
        <f t="shared" si="27"/>
        <v>56</v>
      </c>
    </row>
    <row r="441" spans="1:17" x14ac:dyDescent="0.25">
      <c r="A441" t="s">
        <v>638</v>
      </c>
      <c r="B441" s="3">
        <v>46253</v>
      </c>
      <c r="C441" t="s">
        <v>185</v>
      </c>
      <c r="D441" t="s">
        <v>52</v>
      </c>
      <c r="E441" t="s">
        <v>34</v>
      </c>
      <c r="F441" t="s">
        <v>38</v>
      </c>
      <c r="G441">
        <v>4</v>
      </c>
      <c r="H441">
        <v>800</v>
      </c>
      <c r="I441">
        <v>20</v>
      </c>
      <c r="J441">
        <v>2560</v>
      </c>
      <c r="K441">
        <v>1493.17</v>
      </c>
      <c r="L441">
        <v>1066.83</v>
      </c>
      <c r="M441" t="s">
        <v>18</v>
      </c>
      <c r="N441">
        <f t="shared" si="24"/>
        <v>2065025</v>
      </c>
      <c r="O441">
        <f t="shared" si="25"/>
        <v>631996.7300000001</v>
      </c>
      <c r="P441">
        <f t="shared" si="26"/>
        <v>61</v>
      </c>
      <c r="Q441">
        <f t="shared" si="27"/>
        <v>55</v>
      </c>
    </row>
    <row r="442" spans="1:17" x14ac:dyDescent="0.25">
      <c r="A442" t="s">
        <v>639</v>
      </c>
      <c r="B442" s="3">
        <v>46244</v>
      </c>
      <c r="C442" t="s">
        <v>162</v>
      </c>
      <c r="D442" t="s">
        <v>59</v>
      </c>
      <c r="E442" t="s">
        <v>55</v>
      </c>
      <c r="F442" t="s">
        <v>56</v>
      </c>
      <c r="G442">
        <v>1</v>
      </c>
      <c r="H442">
        <v>9200</v>
      </c>
      <c r="I442">
        <v>0</v>
      </c>
      <c r="J442">
        <v>9200</v>
      </c>
      <c r="K442">
        <v>6434.21</v>
      </c>
      <c r="L442">
        <v>2765.79</v>
      </c>
      <c r="M442" t="s">
        <v>18</v>
      </c>
      <c r="N442">
        <f t="shared" si="24"/>
        <v>2062465</v>
      </c>
      <c r="O442">
        <f t="shared" si="25"/>
        <v>630929.90000000014</v>
      </c>
      <c r="P442">
        <f t="shared" si="26"/>
        <v>60</v>
      </c>
      <c r="Q442">
        <f t="shared" si="27"/>
        <v>54</v>
      </c>
    </row>
    <row r="443" spans="1:17" x14ac:dyDescent="0.25">
      <c r="A443" t="s">
        <v>640</v>
      </c>
      <c r="B443" s="3">
        <v>46330</v>
      </c>
      <c r="C443" t="s">
        <v>274</v>
      </c>
      <c r="D443" t="s">
        <v>21</v>
      </c>
      <c r="E443" t="s">
        <v>55</v>
      </c>
      <c r="F443" t="s">
        <v>179</v>
      </c>
      <c r="G443">
        <v>2</v>
      </c>
      <c r="H443">
        <v>2600</v>
      </c>
      <c r="I443">
        <v>0</v>
      </c>
      <c r="J443">
        <v>5200</v>
      </c>
      <c r="K443">
        <v>3403.92</v>
      </c>
      <c r="L443">
        <v>1796.08</v>
      </c>
      <c r="M443" t="s">
        <v>63</v>
      </c>
      <c r="N443">
        <f t="shared" si="24"/>
        <v>2053265</v>
      </c>
      <c r="O443">
        <f t="shared" si="25"/>
        <v>628164.1100000001</v>
      </c>
      <c r="P443">
        <f t="shared" si="26"/>
        <v>59</v>
      </c>
      <c r="Q443">
        <f t="shared" si="27"/>
        <v>53</v>
      </c>
    </row>
    <row r="444" spans="1:17" x14ac:dyDescent="0.25">
      <c r="A444" t="s">
        <v>641</v>
      </c>
      <c r="B444" s="3">
        <v>46173</v>
      </c>
      <c r="C444" t="s">
        <v>312</v>
      </c>
      <c r="D444" t="s">
        <v>68</v>
      </c>
      <c r="E444" t="s">
        <v>22</v>
      </c>
      <c r="F444" t="s">
        <v>104</v>
      </c>
      <c r="G444">
        <v>2</v>
      </c>
      <c r="H444">
        <v>1300</v>
      </c>
      <c r="I444">
        <v>15</v>
      </c>
      <c r="J444">
        <v>2210</v>
      </c>
      <c r="K444">
        <v>1790.48</v>
      </c>
      <c r="L444">
        <v>419.52</v>
      </c>
      <c r="M444" t="s">
        <v>24</v>
      </c>
      <c r="N444">
        <f t="shared" si="24"/>
        <v>2048065</v>
      </c>
      <c r="O444">
        <f t="shared" si="25"/>
        <v>626368.03000000014</v>
      </c>
      <c r="P444">
        <f t="shared" si="26"/>
        <v>58</v>
      </c>
      <c r="Q444">
        <f t="shared" si="27"/>
        <v>53</v>
      </c>
    </row>
    <row r="445" spans="1:17" x14ac:dyDescent="0.25">
      <c r="A445" t="s">
        <v>642</v>
      </c>
      <c r="B445" s="3">
        <v>46387</v>
      </c>
      <c r="C445" t="s">
        <v>210</v>
      </c>
      <c r="D445" t="s">
        <v>80</v>
      </c>
      <c r="E445" t="s">
        <v>22</v>
      </c>
      <c r="F445" t="s">
        <v>104</v>
      </c>
      <c r="G445">
        <v>5</v>
      </c>
      <c r="H445">
        <v>1400</v>
      </c>
      <c r="I445">
        <v>20</v>
      </c>
      <c r="J445">
        <v>5600</v>
      </c>
      <c r="K445">
        <v>4381.3900000000003</v>
      </c>
      <c r="L445">
        <v>1218.6099999999999</v>
      </c>
      <c r="M445" t="s">
        <v>24</v>
      </c>
      <c r="N445">
        <f t="shared" si="24"/>
        <v>2045855</v>
      </c>
      <c r="O445">
        <f t="shared" si="25"/>
        <v>625948.51000000013</v>
      </c>
      <c r="P445">
        <f t="shared" si="26"/>
        <v>57</v>
      </c>
      <c r="Q445">
        <f t="shared" si="27"/>
        <v>52</v>
      </c>
    </row>
    <row r="446" spans="1:17" x14ac:dyDescent="0.25">
      <c r="A446" t="s">
        <v>643</v>
      </c>
      <c r="B446" s="3">
        <v>46090</v>
      </c>
      <c r="C446" t="s">
        <v>134</v>
      </c>
      <c r="D446" t="s">
        <v>21</v>
      </c>
      <c r="E446" t="s">
        <v>55</v>
      </c>
      <c r="F446" t="s">
        <v>179</v>
      </c>
      <c r="G446">
        <v>3</v>
      </c>
      <c r="H446">
        <v>11750</v>
      </c>
      <c r="I446">
        <v>10</v>
      </c>
      <c r="J446">
        <v>31725</v>
      </c>
      <c r="K446">
        <v>25339.45</v>
      </c>
      <c r="L446">
        <v>6385.55</v>
      </c>
      <c r="M446" t="s">
        <v>18</v>
      </c>
      <c r="N446">
        <f t="shared" si="24"/>
        <v>2040255</v>
      </c>
      <c r="O446">
        <f t="shared" si="25"/>
        <v>624729.90000000014</v>
      </c>
      <c r="P446">
        <f t="shared" si="26"/>
        <v>56</v>
      </c>
      <c r="Q446">
        <f t="shared" si="27"/>
        <v>51</v>
      </c>
    </row>
    <row r="447" spans="1:17" x14ac:dyDescent="0.25">
      <c r="A447" t="s">
        <v>644</v>
      </c>
      <c r="B447" s="3">
        <v>46364</v>
      </c>
      <c r="C447" t="s">
        <v>160</v>
      </c>
      <c r="D447" t="s">
        <v>21</v>
      </c>
      <c r="E447" t="s">
        <v>34</v>
      </c>
      <c r="F447" t="s">
        <v>38</v>
      </c>
      <c r="G447">
        <v>3</v>
      </c>
      <c r="H447">
        <v>5000</v>
      </c>
      <c r="I447">
        <v>15</v>
      </c>
      <c r="J447">
        <v>12750</v>
      </c>
      <c r="K447">
        <v>9018.81</v>
      </c>
      <c r="L447">
        <v>3731.19</v>
      </c>
      <c r="M447" t="s">
        <v>30</v>
      </c>
      <c r="N447">
        <f t="shared" si="24"/>
        <v>2008530</v>
      </c>
      <c r="O447">
        <f t="shared" si="25"/>
        <v>618344.35000000009</v>
      </c>
      <c r="P447">
        <f t="shared" si="26"/>
        <v>55</v>
      </c>
      <c r="Q447">
        <f t="shared" si="27"/>
        <v>50</v>
      </c>
    </row>
    <row r="448" spans="1:17" x14ac:dyDescent="0.25">
      <c r="A448" t="s">
        <v>645</v>
      </c>
      <c r="B448" s="3">
        <v>46050</v>
      </c>
      <c r="C448" t="s">
        <v>101</v>
      </c>
      <c r="D448" t="s">
        <v>80</v>
      </c>
      <c r="E448" t="s">
        <v>22</v>
      </c>
      <c r="F448" t="s">
        <v>23</v>
      </c>
      <c r="G448">
        <v>5</v>
      </c>
      <c r="H448">
        <v>650</v>
      </c>
      <c r="I448">
        <v>0</v>
      </c>
      <c r="J448">
        <v>3250</v>
      </c>
      <c r="K448">
        <v>2121.71</v>
      </c>
      <c r="L448">
        <v>1128.29</v>
      </c>
      <c r="M448" t="s">
        <v>30</v>
      </c>
      <c r="N448">
        <f t="shared" si="24"/>
        <v>1995780</v>
      </c>
      <c r="O448">
        <f t="shared" si="25"/>
        <v>614613.16</v>
      </c>
      <c r="P448">
        <f t="shared" si="26"/>
        <v>54</v>
      </c>
      <c r="Q448">
        <f t="shared" si="27"/>
        <v>49</v>
      </c>
    </row>
    <row r="449" spans="1:17" x14ac:dyDescent="0.25">
      <c r="A449" t="s">
        <v>646</v>
      </c>
      <c r="B449" s="3">
        <v>46174</v>
      </c>
      <c r="C449" t="s">
        <v>418</v>
      </c>
      <c r="D449" t="s">
        <v>21</v>
      </c>
      <c r="E449" t="s">
        <v>55</v>
      </c>
      <c r="F449" t="s">
        <v>141</v>
      </c>
      <c r="G449">
        <v>3</v>
      </c>
      <c r="H449">
        <v>2900</v>
      </c>
      <c r="I449">
        <v>0</v>
      </c>
      <c r="J449">
        <v>8700</v>
      </c>
      <c r="K449">
        <v>6407.21</v>
      </c>
      <c r="L449">
        <v>2292.79</v>
      </c>
      <c r="M449" t="s">
        <v>46</v>
      </c>
      <c r="N449">
        <f t="shared" si="24"/>
        <v>1992530</v>
      </c>
      <c r="O449">
        <f t="shared" si="25"/>
        <v>613484.87000000011</v>
      </c>
      <c r="P449">
        <f t="shared" si="26"/>
        <v>53</v>
      </c>
      <c r="Q449">
        <f t="shared" si="27"/>
        <v>48</v>
      </c>
    </row>
    <row r="450" spans="1:17" x14ac:dyDescent="0.25">
      <c r="A450" t="s">
        <v>647</v>
      </c>
      <c r="B450" s="3">
        <v>46354</v>
      </c>
      <c r="C450" t="s">
        <v>288</v>
      </c>
      <c r="D450" t="s">
        <v>27</v>
      </c>
      <c r="E450" t="s">
        <v>34</v>
      </c>
      <c r="F450" t="s">
        <v>69</v>
      </c>
      <c r="G450">
        <v>1</v>
      </c>
      <c r="H450">
        <v>5450</v>
      </c>
      <c r="I450">
        <v>20</v>
      </c>
      <c r="J450">
        <v>4360</v>
      </c>
      <c r="K450">
        <v>3416.09</v>
      </c>
      <c r="L450">
        <v>943.91</v>
      </c>
      <c r="M450" t="s">
        <v>24</v>
      </c>
      <c r="N450">
        <f t="shared" ref="N450:N501" si="28">SUM(J450:J949)</f>
        <v>1983830</v>
      </c>
      <c r="O450">
        <f t="shared" ref="O450:O501" si="29">SUM(L450:L949)</f>
        <v>611192.08000000007</v>
      </c>
      <c r="P450">
        <f t="shared" ref="P450:P501" si="30">COUNTA(A450:A949)</f>
        <v>52</v>
      </c>
      <c r="Q450">
        <f t="shared" ref="Q450:Q501" si="31">COUNTA(_xlfn.UNIQUE(C450:C949))</f>
        <v>48</v>
      </c>
    </row>
    <row r="451" spans="1:17" x14ac:dyDescent="0.25">
      <c r="A451" t="s">
        <v>648</v>
      </c>
      <c r="B451" s="3">
        <v>46373</v>
      </c>
      <c r="C451" t="s">
        <v>109</v>
      </c>
      <c r="D451" t="s">
        <v>21</v>
      </c>
      <c r="E451" t="s">
        <v>28</v>
      </c>
      <c r="F451" t="s">
        <v>41</v>
      </c>
      <c r="G451">
        <v>1</v>
      </c>
      <c r="H451">
        <v>950</v>
      </c>
      <c r="I451">
        <v>15</v>
      </c>
      <c r="J451">
        <v>807.5</v>
      </c>
      <c r="K451">
        <v>534.95000000000005</v>
      </c>
      <c r="L451">
        <v>272.55</v>
      </c>
      <c r="M451" t="s">
        <v>46</v>
      </c>
      <c r="N451">
        <f t="shared" si="28"/>
        <v>1979470</v>
      </c>
      <c r="O451">
        <f t="shared" si="29"/>
        <v>610248.17000000004</v>
      </c>
      <c r="P451">
        <f t="shared" si="30"/>
        <v>51</v>
      </c>
      <c r="Q451">
        <f t="shared" si="31"/>
        <v>47</v>
      </c>
    </row>
    <row r="452" spans="1:17" x14ac:dyDescent="0.25">
      <c r="A452" t="s">
        <v>649</v>
      </c>
      <c r="B452" s="3">
        <v>46383</v>
      </c>
      <c r="C452" t="s">
        <v>183</v>
      </c>
      <c r="D452" t="s">
        <v>52</v>
      </c>
      <c r="E452" t="s">
        <v>16</v>
      </c>
      <c r="F452" t="s">
        <v>72</v>
      </c>
      <c r="G452">
        <v>2</v>
      </c>
      <c r="H452">
        <v>59250</v>
      </c>
      <c r="I452">
        <v>5</v>
      </c>
      <c r="J452">
        <v>112575</v>
      </c>
      <c r="K452">
        <v>89621.11</v>
      </c>
      <c r="L452">
        <v>22953.89</v>
      </c>
      <c r="M452" t="s">
        <v>18</v>
      </c>
      <c r="N452">
        <f t="shared" si="28"/>
        <v>1978662.5</v>
      </c>
      <c r="O452">
        <f t="shared" si="29"/>
        <v>609975.62000000011</v>
      </c>
      <c r="P452">
        <f t="shared" si="30"/>
        <v>50</v>
      </c>
      <c r="Q452">
        <f t="shared" si="31"/>
        <v>46</v>
      </c>
    </row>
    <row r="453" spans="1:17" x14ac:dyDescent="0.25">
      <c r="A453" t="s">
        <v>650</v>
      </c>
      <c r="B453" s="3">
        <v>46372</v>
      </c>
      <c r="C453" t="s">
        <v>453</v>
      </c>
      <c r="D453" t="s">
        <v>68</v>
      </c>
      <c r="E453" t="s">
        <v>28</v>
      </c>
      <c r="F453" t="s">
        <v>49</v>
      </c>
      <c r="G453">
        <v>2</v>
      </c>
      <c r="H453">
        <v>750</v>
      </c>
      <c r="I453">
        <v>15</v>
      </c>
      <c r="J453">
        <v>1275</v>
      </c>
      <c r="K453">
        <v>762.33</v>
      </c>
      <c r="L453">
        <v>512.66999999999996</v>
      </c>
      <c r="M453" t="s">
        <v>24</v>
      </c>
      <c r="N453">
        <f t="shared" si="28"/>
        <v>1866087.5</v>
      </c>
      <c r="O453">
        <f t="shared" si="29"/>
        <v>587021.7300000001</v>
      </c>
      <c r="P453">
        <f t="shared" si="30"/>
        <v>49</v>
      </c>
      <c r="Q453">
        <f t="shared" si="31"/>
        <v>45</v>
      </c>
    </row>
    <row r="454" spans="1:17" x14ac:dyDescent="0.25">
      <c r="A454" t="s">
        <v>651</v>
      </c>
      <c r="B454" s="3">
        <v>46158</v>
      </c>
      <c r="C454" t="s">
        <v>272</v>
      </c>
      <c r="D454" t="s">
        <v>68</v>
      </c>
      <c r="E454" t="s">
        <v>28</v>
      </c>
      <c r="F454" t="s">
        <v>78</v>
      </c>
      <c r="G454">
        <v>4</v>
      </c>
      <c r="H454">
        <v>250</v>
      </c>
      <c r="I454">
        <v>15</v>
      </c>
      <c r="J454">
        <v>850</v>
      </c>
      <c r="K454">
        <v>531.55999999999995</v>
      </c>
      <c r="L454">
        <v>318.44</v>
      </c>
      <c r="M454" t="s">
        <v>18</v>
      </c>
      <c r="N454">
        <f t="shared" si="28"/>
        <v>1864812.5</v>
      </c>
      <c r="O454">
        <f t="shared" si="29"/>
        <v>586509.06000000006</v>
      </c>
      <c r="P454">
        <f t="shared" si="30"/>
        <v>48</v>
      </c>
      <c r="Q454">
        <f t="shared" si="31"/>
        <v>44</v>
      </c>
    </row>
    <row r="455" spans="1:17" x14ac:dyDescent="0.25">
      <c r="A455" t="s">
        <v>652</v>
      </c>
      <c r="B455" s="3">
        <v>46188</v>
      </c>
      <c r="C455" t="s">
        <v>120</v>
      </c>
      <c r="D455" t="s">
        <v>52</v>
      </c>
      <c r="E455" t="s">
        <v>34</v>
      </c>
      <c r="F455" t="s">
        <v>38</v>
      </c>
      <c r="G455">
        <v>3</v>
      </c>
      <c r="H455">
        <v>4200</v>
      </c>
      <c r="I455">
        <v>5</v>
      </c>
      <c r="J455">
        <v>11970</v>
      </c>
      <c r="K455">
        <v>6712.58</v>
      </c>
      <c r="L455">
        <v>5257.42</v>
      </c>
      <c r="M455" t="s">
        <v>30</v>
      </c>
      <c r="N455">
        <f t="shared" si="28"/>
        <v>1863962.5</v>
      </c>
      <c r="O455">
        <f t="shared" si="29"/>
        <v>586190.62000000011</v>
      </c>
      <c r="P455">
        <f t="shared" si="30"/>
        <v>47</v>
      </c>
      <c r="Q455">
        <f t="shared" si="31"/>
        <v>43</v>
      </c>
    </row>
    <row r="456" spans="1:17" x14ac:dyDescent="0.25">
      <c r="A456" t="s">
        <v>653</v>
      </c>
      <c r="B456" s="3">
        <v>46185</v>
      </c>
      <c r="C456" t="s">
        <v>304</v>
      </c>
      <c r="D456" t="s">
        <v>80</v>
      </c>
      <c r="E456" t="s">
        <v>22</v>
      </c>
      <c r="F456" t="s">
        <v>104</v>
      </c>
      <c r="G456">
        <v>5</v>
      </c>
      <c r="H456">
        <v>1650</v>
      </c>
      <c r="I456">
        <v>0</v>
      </c>
      <c r="J456">
        <v>8250</v>
      </c>
      <c r="K456">
        <v>6283.93</v>
      </c>
      <c r="L456">
        <v>1966.07</v>
      </c>
      <c r="M456" t="s">
        <v>24</v>
      </c>
      <c r="N456">
        <f t="shared" si="28"/>
        <v>1851992.5</v>
      </c>
      <c r="O456">
        <f t="shared" si="29"/>
        <v>580933.20000000007</v>
      </c>
      <c r="P456">
        <f t="shared" si="30"/>
        <v>46</v>
      </c>
      <c r="Q456">
        <f t="shared" si="31"/>
        <v>42</v>
      </c>
    </row>
    <row r="457" spans="1:17" x14ac:dyDescent="0.25">
      <c r="A457" t="s">
        <v>654</v>
      </c>
      <c r="B457" s="3">
        <v>46229</v>
      </c>
      <c r="C457" t="s">
        <v>193</v>
      </c>
      <c r="D457" t="s">
        <v>33</v>
      </c>
      <c r="E457" t="s">
        <v>28</v>
      </c>
      <c r="F457" t="s">
        <v>78</v>
      </c>
      <c r="G457">
        <v>5</v>
      </c>
      <c r="H457">
        <v>500</v>
      </c>
      <c r="I457">
        <v>15</v>
      </c>
      <c r="J457">
        <v>2125</v>
      </c>
      <c r="K457">
        <v>1480.34</v>
      </c>
      <c r="L457">
        <v>644.66</v>
      </c>
      <c r="M457" t="s">
        <v>24</v>
      </c>
      <c r="N457">
        <f t="shared" si="28"/>
        <v>1843742.5</v>
      </c>
      <c r="O457">
        <f t="shared" si="29"/>
        <v>578967.13000000012</v>
      </c>
      <c r="P457">
        <f t="shared" si="30"/>
        <v>45</v>
      </c>
      <c r="Q457">
        <f t="shared" si="31"/>
        <v>41</v>
      </c>
    </row>
    <row r="458" spans="1:17" x14ac:dyDescent="0.25">
      <c r="A458" t="s">
        <v>655</v>
      </c>
      <c r="B458" s="3">
        <v>46339</v>
      </c>
      <c r="C458" t="s">
        <v>115</v>
      </c>
      <c r="D458" t="s">
        <v>59</v>
      </c>
      <c r="E458" t="s">
        <v>55</v>
      </c>
      <c r="F458" t="s">
        <v>141</v>
      </c>
      <c r="G458">
        <v>3</v>
      </c>
      <c r="H458">
        <v>6400</v>
      </c>
      <c r="I458">
        <v>10</v>
      </c>
      <c r="J458">
        <v>17280</v>
      </c>
      <c r="K458">
        <v>10523.18</v>
      </c>
      <c r="L458">
        <v>6756.82</v>
      </c>
      <c r="M458" t="s">
        <v>18</v>
      </c>
      <c r="N458">
        <f t="shared" si="28"/>
        <v>1841617.5</v>
      </c>
      <c r="O458">
        <f t="shared" si="29"/>
        <v>578322.47000000009</v>
      </c>
      <c r="P458">
        <f t="shared" si="30"/>
        <v>44</v>
      </c>
      <c r="Q458">
        <f t="shared" si="31"/>
        <v>41</v>
      </c>
    </row>
    <row r="459" spans="1:17" x14ac:dyDescent="0.25">
      <c r="A459" t="s">
        <v>656</v>
      </c>
      <c r="B459" s="3">
        <v>46337</v>
      </c>
      <c r="C459" t="s">
        <v>181</v>
      </c>
      <c r="D459" t="s">
        <v>75</v>
      </c>
      <c r="E459" t="s">
        <v>16</v>
      </c>
      <c r="F459" t="s">
        <v>17</v>
      </c>
      <c r="G459">
        <v>3</v>
      </c>
      <c r="H459">
        <v>59600</v>
      </c>
      <c r="I459">
        <v>5</v>
      </c>
      <c r="J459">
        <v>169860</v>
      </c>
      <c r="K459">
        <v>134905.20000000001</v>
      </c>
      <c r="L459">
        <v>34954.800000000003</v>
      </c>
      <c r="M459" t="s">
        <v>30</v>
      </c>
      <c r="N459">
        <f t="shared" si="28"/>
        <v>1824337.5</v>
      </c>
      <c r="O459">
        <f t="shared" si="29"/>
        <v>571565.65000000014</v>
      </c>
      <c r="P459">
        <f t="shared" si="30"/>
        <v>43</v>
      </c>
      <c r="Q459">
        <f t="shared" si="31"/>
        <v>40</v>
      </c>
    </row>
    <row r="460" spans="1:17" x14ac:dyDescent="0.25">
      <c r="A460" t="s">
        <v>657</v>
      </c>
      <c r="B460" s="3">
        <v>46035</v>
      </c>
      <c r="C460" t="s">
        <v>658</v>
      </c>
      <c r="D460" t="s">
        <v>33</v>
      </c>
      <c r="E460" t="s">
        <v>22</v>
      </c>
      <c r="F460" t="s">
        <v>23</v>
      </c>
      <c r="G460">
        <v>4</v>
      </c>
      <c r="H460">
        <v>1250</v>
      </c>
      <c r="I460">
        <v>20</v>
      </c>
      <c r="J460">
        <v>4000</v>
      </c>
      <c r="K460">
        <v>2981.89</v>
      </c>
      <c r="L460">
        <v>1018.11</v>
      </c>
      <c r="M460" t="s">
        <v>18</v>
      </c>
      <c r="N460">
        <f t="shared" si="28"/>
        <v>1654477.5</v>
      </c>
      <c r="O460">
        <f t="shared" si="29"/>
        <v>536610.85000000009</v>
      </c>
      <c r="P460">
        <f t="shared" si="30"/>
        <v>42</v>
      </c>
      <c r="Q460">
        <f t="shared" si="31"/>
        <v>39</v>
      </c>
    </row>
    <row r="461" spans="1:17" x14ac:dyDescent="0.25">
      <c r="A461" t="s">
        <v>659</v>
      </c>
      <c r="B461" s="3">
        <v>46121</v>
      </c>
      <c r="C461" t="s">
        <v>274</v>
      </c>
      <c r="D461" t="s">
        <v>21</v>
      </c>
      <c r="E461" t="s">
        <v>28</v>
      </c>
      <c r="F461" t="s">
        <v>29</v>
      </c>
      <c r="G461">
        <v>4</v>
      </c>
      <c r="H461">
        <v>250</v>
      </c>
      <c r="I461">
        <v>10</v>
      </c>
      <c r="J461">
        <v>900</v>
      </c>
      <c r="K461">
        <v>713.28</v>
      </c>
      <c r="L461">
        <v>186.72</v>
      </c>
      <c r="M461" t="s">
        <v>46</v>
      </c>
      <c r="N461">
        <f t="shared" si="28"/>
        <v>1650477.5</v>
      </c>
      <c r="O461">
        <f t="shared" si="29"/>
        <v>535592.74000000011</v>
      </c>
      <c r="P461">
        <f t="shared" si="30"/>
        <v>41</v>
      </c>
      <c r="Q461">
        <f t="shared" si="31"/>
        <v>38</v>
      </c>
    </row>
    <row r="462" spans="1:17" x14ac:dyDescent="0.25">
      <c r="A462" t="s">
        <v>660</v>
      </c>
      <c r="B462" s="3">
        <v>46130</v>
      </c>
      <c r="C462" t="s">
        <v>51</v>
      </c>
      <c r="D462" t="s">
        <v>27</v>
      </c>
      <c r="E462" t="s">
        <v>16</v>
      </c>
      <c r="F462" t="s">
        <v>107</v>
      </c>
      <c r="G462">
        <v>5</v>
      </c>
      <c r="H462">
        <v>71100</v>
      </c>
      <c r="I462">
        <v>0</v>
      </c>
      <c r="J462">
        <v>355500</v>
      </c>
      <c r="K462">
        <v>255701.17</v>
      </c>
      <c r="L462">
        <v>99798.83</v>
      </c>
      <c r="M462" t="s">
        <v>46</v>
      </c>
      <c r="N462">
        <f t="shared" si="28"/>
        <v>1649577.5</v>
      </c>
      <c r="O462">
        <f t="shared" si="29"/>
        <v>535406.02000000014</v>
      </c>
      <c r="P462">
        <f t="shared" si="30"/>
        <v>40</v>
      </c>
      <c r="Q462">
        <f t="shared" si="31"/>
        <v>37</v>
      </c>
    </row>
    <row r="463" spans="1:17" x14ac:dyDescent="0.25">
      <c r="A463" t="s">
        <v>661</v>
      </c>
      <c r="B463" s="3">
        <v>46101</v>
      </c>
      <c r="C463" t="s">
        <v>20</v>
      </c>
      <c r="D463" t="s">
        <v>59</v>
      </c>
      <c r="E463" t="s">
        <v>55</v>
      </c>
      <c r="F463" t="s">
        <v>179</v>
      </c>
      <c r="G463">
        <v>4</v>
      </c>
      <c r="H463">
        <v>11100</v>
      </c>
      <c r="I463">
        <v>0</v>
      </c>
      <c r="J463">
        <v>44400</v>
      </c>
      <c r="K463">
        <v>33373.730000000003</v>
      </c>
      <c r="L463">
        <v>11026.27</v>
      </c>
      <c r="M463" t="s">
        <v>30</v>
      </c>
      <c r="N463">
        <f t="shared" si="28"/>
        <v>1294077.5</v>
      </c>
      <c r="O463">
        <f t="shared" si="29"/>
        <v>435607.19</v>
      </c>
      <c r="P463">
        <f t="shared" si="30"/>
        <v>39</v>
      </c>
      <c r="Q463">
        <f t="shared" si="31"/>
        <v>37</v>
      </c>
    </row>
    <row r="464" spans="1:17" x14ac:dyDescent="0.25">
      <c r="A464" t="s">
        <v>662</v>
      </c>
      <c r="B464" s="3">
        <v>46308</v>
      </c>
      <c r="C464" t="s">
        <v>474</v>
      </c>
      <c r="D464" t="s">
        <v>52</v>
      </c>
      <c r="E464" t="s">
        <v>16</v>
      </c>
      <c r="F464" t="s">
        <v>17</v>
      </c>
      <c r="G464">
        <v>1</v>
      </c>
      <c r="H464">
        <v>8300</v>
      </c>
      <c r="I464">
        <v>5</v>
      </c>
      <c r="J464">
        <v>7885</v>
      </c>
      <c r="K464">
        <v>6027.59</v>
      </c>
      <c r="L464">
        <v>1857.41</v>
      </c>
      <c r="M464" t="s">
        <v>24</v>
      </c>
      <c r="N464">
        <f t="shared" si="28"/>
        <v>1249677.5</v>
      </c>
      <c r="O464">
        <f t="shared" si="29"/>
        <v>424580.92000000004</v>
      </c>
      <c r="P464">
        <f t="shared" si="30"/>
        <v>38</v>
      </c>
      <c r="Q464">
        <f t="shared" si="31"/>
        <v>36</v>
      </c>
    </row>
    <row r="465" spans="1:17" x14ac:dyDescent="0.25">
      <c r="A465" t="s">
        <v>663</v>
      </c>
      <c r="B465" s="3">
        <v>46031</v>
      </c>
      <c r="C465" t="s">
        <v>664</v>
      </c>
      <c r="D465" t="s">
        <v>15</v>
      </c>
      <c r="E465" t="s">
        <v>34</v>
      </c>
      <c r="F465" t="s">
        <v>69</v>
      </c>
      <c r="G465">
        <v>4</v>
      </c>
      <c r="H465">
        <v>4100</v>
      </c>
      <c r="I465">
        <v>15</v>
      </c>
      <c r="J465">
        <v>13940</v>
      </c>
      <c r="K465">
        <v>9296.82</v>
      </c>
      <c r="L465">
        <v>4643.18</v>
      </c>
      <c r="M465" t="s">
        <v>18</v>
      </c>
      <c r="N465">
        <f t="shared" si="28"/>
        <v>1241792.5</v>
      </c>
      <c r="O465">
        <f t="shared" si="29"/>
        <v>422723.51</v>
      </c>
      <c r="P465">
        <f t="shared" si="30"/>
        <v>37</v>
      </c>
      <c r="Q465">
        <f t="shared" si="31"/>
        <v>35</v>
      </c>
    </row>
    <row r="466" spans="1:17" x14ac:dyDescent="0.25">
      <c r="A466" t="s">
        <v>665</v>
      </c>
      <c r="B466" s="3">
        <v>46280</v>
      </c>
      <c r="C466" t="s">
        <v>597</v>
      </c>
      <c r="D466" t="s">
        <v>44</v>
      </c>
      <c r="E466" t="s">
        <v>16</v>
      </c>
      <c r="F466" t="s">
        <v>240</v>
      </c>
      <c r="G466">
        <v>1</v>
      </c>
      <c r="H466">
        <v>7150</v>
      </c>
      <c r="I466">
        <v>0</v>
      </c>
      <c r="J466">
        <v>7150</v>
      </c>
      <c r="K466">
        <v>4623.04</v>
      </c>
      <c r="L466">
        <v>2526.96</v>
      </c>
      <c r="M466" t="s">
        <v>30</v>
      </c>
      <c r="N466">
        <f t="shared" si="28"/>
        <v>1227852.5</v>
      </c>
      <c r="O466">
        <f t="shared" si="29"/>
        <v>418080.33</v>
      </c>
      <c r="P466">
        <f t="shared" si="30"/>
        <v>36</v>
      </c>
      <c r="Q466">
        <f t="shared" si="31"/>
        <v>34</v>
      </c>
    </row>
    <row r="467" spans="1:17" x14ac:dyDescent="0.25">
      <c r="A467" t="s">
        <v>666</v>
      </c>
      <c r="B467" s="3">
        <v>46361</v>
      </c>
      <c r="C467" t="s">
        <v>291</v>
      </c>
      <c r="D467" t="s">
        <v>59</v>
      </c>
      <c r="E467" t="s">
        <v>28</v>
      </c>
      <c r="F467" t="s">
        <v>78</v>
      </c>
      <c r="G467">
        <v>3</v>
      </c>
      <c r="H467">
        <v>1700</v>
      </c>
      <c r="I467">
        <v>15</v>
      </c>
      <c r="J467">
        <v>4335</v>
      </c>
      <c r="K467">
        <v>2830.68</v>
      </c>
      <c r="L467">
        <v>1504.32</v>
      </c>
      <c r="M467" t="s">
        <v>24</v>
      </c>
      <c r="N467">
        <f t="shared" si="28"/>
        <v>1220702.5</v>
      </c>
      <c r="O467">
        <f t="shared" si="29"/>
        <v>415553.37</v>
      </c>
      <c r="P467">
        <f t="shared" si="30"/>
        <v>35</v>
      </c>
      <c r="Q467">
        <f t="shared" si="31"/>
        <v>33</v>
      </c>
    </row>
    <row r="468" spans="1:17" x14ac:dyDescent="0.25">
      <c r="A468" t="s">
        <v>667</v>
      </c>
      <c r="B468" s="3">
        <v>46302</v>
      </c>
      <c r="C468" t="s">
        <v>250</v>
      </c>
      <c r="D468" t="s">
        <v>68</v>
      </c>
      <c r="E468" t="s">
        <v>28</v>
      </c>
      <c r="F468" t="s">
        <v>49</v>
      </c>
      <c r="G468">
        <v>2</v>
      </c>
      <c r="H468">
        <v>1700</v>
      </c>
      <c r="I468">
        <v>15</v>
      </c>
      <c r="J468">
        <v>2890</v>
      </c>
      <c r="K468">
        <v>2211.2199999999998</v>
      </c>
      <c r="L468">
        <v>678.78</v>
      </c>
      <c r="M468" t="s">
        <v>30</v>
      </c>
      <c r="N468">
        <f t="shared" si="28"/>
        <v>1216367.5</v>
      </c>
      <c r="O468">
        <f t="shared" si="29"/>
        <v>414049.05000000005</v>
      </c>
      <c r="P468">
        <f t="shared" si="30"/>
        <v>34</v>
      </c>
      <c r="Q468">
        <f t="shared" si="31"/>
        <v>32</v>
      </c>
    </row>
    <row r="469" spans="1:17" x14ac:dyDescent="0.25">
      <c r="A469" t="s">
        <v>668</v>
      </c>
      <c r="B469" s="3">
        <v>46025</v>
      </c>
      <c r="C469" t="s">
        <v>530</v>
      </c>
      <c r="D469" t="s">
        <v>52</v>
      </c>
      <c r="E469" t="s">
        <v>34</v>
      </c>
      <c r="F469" t="s">
        <v>38</v>
      </c>
      <c r="G469">
        <v>5</v>
      </c>
      <c r="H469">
        <v>4950</v>
      </c>
      <c r="I469">
        <v>5</v>
      </c>
      <c r="J469">
        <v>23512.5</v>
      </c>
      <c r="K469">
        <v>13714.22</v>
      </c>
      <c r="L469">
        <v>9798.2800000000007</v>
      </c>
      <c r="M469" t="s">
        <v>63</v>
      </c>
      <c r="N469">
        <f t="shared" si="28"/>
        <v>1213477.5</v>
      </c>
      <c r="O469">
        <f t="shared" si="29"/>
        <v>413370.27</v>
      </c>
      <c r="P469">
        <f t="shared" si="30"/>
        <v>33</v>
      </c>
      <c r="Q469">
        <f t="shared" si="31"/>
        <v>31</v>
      </c>
    </row>
    <row r="470" spans="1:17" x14ac:dyDescent="0.25">
      <c r="A470" t="s">
        <v>669</v>
      </c>
      <c r="B470" s="3">
        <v>46199</v>
      </c>
      <c r="C470" t="s">
        <v>51</v>
      </c>
      <c r="D470" t="s">
        <v>27</v>
      </c>
      <c r="E470" t="s">
        <v>28</v>
      </c>
      <c r="F470" t="s">
        <v>86</v>
      </c>
      <c r="G470">
        <v>1</v>
      </c>
      <c r="H470">
        <v>750</v>
      </c>
      <c r="I470">
        <v>5</v>
      </c>
      <c r="J470">
        <v>712.5</v>
      </c>
      <c r="K470">
        <v>535.83000000000004</v>
      </c>
      <c r="L470">
        <v>176.67</v>
      </c>
      <c r="M470" t="s">
        <v>18</v>
      </c>
      <c r="N470">
        <f t="shared" si="28"/>
        <v>1189965</v>
      </c>
      <c r="O470">
        <f t="shared" si="29"/>
        <v>403571.99000000005</v>
      </c>
      <c r="P470">
        <f t="shared" si="30"/>
        <v>32</v>
      </c>
      <c r="Q470">
        <f t="shared" si="31"/>
        <v>31</v>
      </c>
    </row>
    <row r="471" spans="1:17" x14ac:dyDescent="0.25">
      <c r="A471" t="s">
        <v>670</v>
      </c>
      <c r="B471" s="3">
        <v>46122</v>
      </c>
      <c r="C471" t="s">
        <v>295</v>
      </c>
      <c r="D471" t="s">
        <v>68</v>
      </c>
      <c r="E471" t="s">
        <v>55</v>
      </c>
      <c r="F471" t="s">
        <v>97</v>
      </c>
      <c r="G471">
        <v>2</v>
      </c>
      <c r="H471">
        <v>4100</v>
      </c>
      <c r="I471">
        <v>20</v>
      </c>
      <c r="J471">
        <v>6560</v>
      </c>
      <c r="K471">
        <v>5086.51</v>
      </c>
      <c r="L471">
        <v>1473.49</v>
      </c>
      <c r="M471" t="s">
        <v>18</v>
      </c>
      <c r="N471">
        <f t="shared" si="28"/>
        <v>1189252.5</v>
      </c>
      <c r="O471">
        <f t="shared" si="29"/>
        <v>403395.32</v>
      </c>
      <c r="P471">
        <f t="shared" si="30"/>
        <v>31</v>
      </c>
      <c r="Q471">
        <f t="shared" si="31"/>
        <v>30</v>
      </c>
    </row>
    <row r="472" spans="1:17" x14ac:dyDescent="0.25">
      <c r="A472" t="s">
        <v>671</v>
      </c>
      <c r="B472" s="3">
        <v>46057</v>
      </c>
      <c r="C472" t="s">
        <v>204</v>
      </c>
      <c r="D472" t="s">
        <v>15</v>
      </c>
      <c r="E472" t="s">
        <v>16</v>
      </c>
      <c r="F472" t="s">
        <v>240</v>
      </c>
      <c r="G472">
        <v>4</v>
      </c>
      <c r="H472">
        <v>73250</v>
      </c>
      <c r="I472">
        <v>0</v>
      </c>
      <c r="J472">
        <v>293000</v>
      </c>
      <c r="K472">
        <v>184143.53</v>
      </c>
      <c r="L472">
        <v>108856.47</v>
      </c>
      <c r="M472" t="s">
        <v>24</v>
      </c>
      <c r="N472">
        <f t="shared" si="28"/>
        <v>1182692.5</v>
      </c>
      <c r="O472">
        <f t="shared" si="29"/>
        <v>401921.83</v>
      </c>
      <c r="P472">
        <f t="shared" si="30"/>
        <v>30</v>
      </c>
      <c r="Q472">
        <f t="shared" si="31"/>
        <v>29</v>
      </c>
    </row>
    <row r="473" spans="1:17" x14ac:dyDescent="0.25">
      <c r="A473" t="s">
        <v>672</v>
      </c>
      <c r="B473" s="3">
        <v>46143</v>
      </c>
      <c r="C473" t="s">
        <v>91</v>
      </c>
      <c r="D473" t="s">
        <v>44</v>
      </c>
      <c r="E473" t="s">
        <v>28</v>
      </c>
      <c r="F473" t="s">
        <v>29</v>
      </c>
      <c r="G473">
        <v>3</v>
      </c>
      <c r="H473">
        <v>900</v>
      </c>
      <c r="I473">
        <v>5</v>
      </c>
      <c r="J473">
        <v>2565</v>
      </c>
      <c r="K473">
        <v>1875.66</v>
      </c>
      <c r="L473">
        <v>689.34</v>
      </c>
      <c r="M473" t="s">
        <v>18</v>
      </c>
      <c r="N473">
        <f t="shared" si="28"/>
        <v>889692.5</v>
      </c>
      <c r="O473">
        <f t="shared" si="29"/>
        <v>293065.35999999993</v>
      </c>
      <c r="P473">
        <f t="shared" si="30"/>
        <v>29</v>
      </c>
      <c r="Q473">
        <f t="shared" si="31"/>
        <v>28</v>
      </c>
    </row>
    <row r="474" spans="1:17" x14ac:dyDescent="0.25">
      <c r="A474" t="s">
        <v>673</v>
      </c>
      <c r="B474" s="3">
        <v>46360</v>
      </c>
      <c r="C474" t="s">
        <v>489</v>
      </c>
      <c r="D474" t="s">
        <v>52</v>
      </c>
      <c r="E474" t="s">
        <v>16</v>
      </c>
      <c r="F474" t="s">
        <v>107</v>
      </c>
      <c r="G474">
        <v>3</v>
      </c>
      <c r="H474">
        <v>64900</v>
      </c>
      <c r="I474">
        <v>15</v>
      </c>
      <c r="J474">
        <v>165495</v>
      </c>
      <c r="K474">
        <v>105693.95</v>
      </c>
      <c r="L474">
        <v>59801.05</v>
      </c>
      <c r="M474" t="s">
        <v>24</v>
      </c>
      <c r="N474">
        <f t="shared" si="28"/>
        <v>887127.5</v>
      </c>
      <c r="O474">
        <f t="shared" si="29"/>
        <v>292376.0199999999</v>
      </c>
      <c r="P474">
        <f t="shared" si="30"/>
        <v>28</v>
      </c>
      <c r="Q474">
        <f t="shared" si="31"/>
        <v>27</v>
      </c>
    </row>
    <row r="475" spans="1:17" x14ac:dyDescent="0.25">
      <c r="A475" t="s">
        <v>674</v>
      </c>
      <c r="B475" s="3">
        <v>46183</v>
      </c>
      <c r="C475" t="s">
        <v>54</v>
      </c>
      <c r="D475" t="s">
        <v>80</v>
      </c>
      <c r="E475" t="s">
        <v>28</v>
      </c>
      <c r="F475" t="s">
        <v>86</v>
      </c>
      <c r="G475">
        <v>3</v>
      </c>
      <c r="H475">
        <v>800</v>
      </c>
      <c r="I475">
        <v>15</v>
      </c>
      <c r="J475">
        <v>2040</v>
      </c>
      <c r="K475">
        <v>1214.8900000000001</v>
      </c>
      <c r="L475">
        <v>825.11</v>
      </c>
      <c r="M475" t="s">
        <v>63</v>
      </c>
      <c r="N475">
        <f t="shared" si="28"/>
        <v>721632.5</v>
      </c>
      <c r="O475">
        <f t="shared" si="29"/>
        <v>232574.96999999997</v>
      </c>
      <c r="P475">
        <f t="shared" si="30"/>
        <v>27</v>
      </c>
      <c r="Q475">
        <f t="shared" si="31"/>
        <v>26</v>
      </c>
    </row>
    <row r="476" spans="1:17" x14ac:dyDescent="0.25">
      <c r="A476" t="s">
        <v>675</v>
      </c>
      <c r="B476" s="3">
        <v>46259</v>
      </c>
      <c r="C476" t="s">
        <v>355</v>
      </c>
      <c r="D476" t="s">
        <v>33</v>
      </c>
      <c r="E476" t="s">
        <v>34</v>
      </c>
      <c r="F476" t="s">
        <v>116</v>
      </c>
      <c r="G476">
        <v>2</v>
      </c>
      <c r="H476">
        <v>5950</v>
      </c>
      <c r="I476">
        <v>10</v>
      </c>
      <c r="J476">
        <v>10710</v>
      </c>
      <c r="K476">
        <v>8429.08</v>
      </c>
      <c r="L476">
        <v>2280.92</v>
      </c>
      <c r="M476" t="s">
        <v>30</v>
      </c>
      <c r="N476">
        <f t="shared" si="28"/>
        <v>719592.5</v>
      </c>
      <c r="O476">
        <f t="shared" si="29"/>
        <v>231749.86</v>
      </c>
      <c r="P476">
        <f t="shared" si="30"/>
        <v>26</v>
      </c>
      <c r="Q476">
        <f t="shared" si="31"/>
        <v>25</v>
      </c>
    </row>
    <row r="477" spans="1:17" x14ac:dyDescent="0.25">
      <c r="A477" t="s">
        <v>676</v>
      </c>
      <c r="B477" s="3">
        <v>46166</v>
      </c>
      <c r="C477" t="s">
        <v>385</v>
      </c>
      <c r="D477" t="s">
        <v>21</v>
      </c>
      <c r="E477" t="s">
        <v>22</v>
      </c>
      <c r="F477" t="s">
        <v>104</v>
      </c>
      <c r="G477">
        <v>1</v>
      </c>
      <c r="H477">
        <v>900</v>
      </c>
      <c r="I477">
        <v>20</v>
      </c>
      <c r="J477">
        <v>720</v>
      </c>
      <c r="K477">
        <v>411.94</v>
      </c>
      <c r="L477">
        <v>308.06</v>
      </c>
      <c r="M477" t="s">
        <v>24</v>
      </c>
      <c r="N477">
        <f t="shared" si="28"/>
        <v>708882.5</v>
      </c>
      <c r="O477">
        <f t="shared" si="29"/>
        <v>229468.94</v>
      </c>
      <c r="P477">
        <f t="shared" si="30"/>
        <v>25</v>
      </c>
      <c r="Q477">
        <f t="shared" si="31"/>
        <v>24</v>
      </c>
    </row>
    <row r="478" spans="1:17" x14ac:dyDescent="0.25">
      <c r="A478" t="s">
        <v>677</v>
      </c>
      <c r="B478" s="3">
        <v>46320</v>
      </c>
      <c r="C478" t="s">
        <v>178</v>
      </c>
      <c r="D478" t="s">
        <v>27</v>
      </c>
      <c r="E478" t="s">
        <v>34</v>
      </c>
      <c r="F478" t="s">
        <v>38</v>
      </c>
      <c r="G478">
        <v>1</v>
      </c>
      <c r="H478">
        <v>550</v>
      </c>
      <c r="I478">
        <v>20</v>
      </c>
      <c r="J478">
        <v>440</v>
      </c>
      <c r="K478">
        <v>317.04000000000002</v>
      </c>
      <c r="L478">
        <v>122.96</v>
      </c>
      <c r="M478" t="s">
        <v>18</v>
      </c>
      <c r="N478">
        <f t="shared" si="28"/>
        <v>708162.5</v>
      </c>
      <c r="O478">
        <f t="shared" si="29"/>
        <v>229160.88</v>
      </c>
      <c r="P478">
        <f t="shared" si="30"/>
        <v>24</v>
      </c>
      <c r="Q478">
        <f t="shared" si="31"/>
        <v>23</v>
      </c>
    </row>
    <row r="479" spans="1:17" x14ac:dyDescent="0.25">
      <c r="A479" t="s">
        <v>678</v>
      </c>
      <c r="B479" s="3">
        <v>46299</v>
      </c>
      <c r="C479" t="s">
        <v>332</v>
      </c>
      <c r="D479" t="s">
        <v>68</v>
      </c>
      <c r="E479" t="s">
        <v>55</v>
      </c>
      <c r="F479" t="s">
        <v>132</v>
      </c>
      <c r="G479">
        <v>5</v>
      </c>
      <c r="H479">
        <v>4750</v>
      </c>
      <c r="I479">
        <v>20</v>
      </c>
      <c r="J479">
        <v>19000</v>
      </c>
      <c r="K479">
        <v>15036.15</v>
      </c>
      <c r="L479">
        <v>3963.85</v>
      </c>
      <c r="M479" t="s">
        <v>30</v>
      </c>
      <c r="N479">
        <f t="shared" si="28"/>
        <v>707722.5</v>
      </c>
      <c r="O479">
        <f t="shared" si="29"/>
        <v>229037.91999999998</v>
      </c>
      <c r="P479">
        <f t="shared" si="30"/>
        <v>23</v>
      </c>
      <c r="Q479">
        <f t="shared" si="31"/>
        <v>22</v>
      </c>
    </row>
    <row r="480" spans="1:17" x14ac:dyDescent="0.25">
      <c r="A480" t="s">
        <v>679</v>
      </c>
      <c r="B480" s="3">
        <v>46279</v>
      </c>
      <c r="C480" t="s">
        <v>58</v>
      </c>
      <c r="D480" t="s">
        <v>15</v>
      </c>
      <c r="E480" t="s">
        <v>22</v>
      </c>
      <c r="F480" t="s">
        <v>95</v>
      </c>
      <c r="G480">
        <v>5</v>
      </c>
      <c r="H480">
        <v>3200</v>
      </c>
      <c r="I480">
        <v>10</v>
      </c>
      <c r="J480">
        <v>14400</v>
      </c>
      <c r="K480">
        <v>8440.5300000000007</v>
      </c>
      <c r="L480">
        <v>5959.47</v>
      </c>
      <c r="M480" t="s">
        <v>63</v>
      </c>
      <c r="N480">
        <f t="shared" si="28"/>
        <v>688722.5</v>
      </c>
      <c r="O480">
        <f t="shared" si="29"/>
        <v>225074.07</v>
      </c>
      <c r="P480">
        <f t="shared" si="30"/>
        <v>22</v>
      </c>
      <c r="Q480">
        <f t="shared" si="31"/>
        <v>21</v>
      </c>
    </row>
    <row r="481" spans="1:17" x14ac:dyDescent="0.25">
      <c r="A481" t="s">
        <v>680</v>
      </c>
      <c r="B481" s="3">
        <v>46337</v>
      </c>
      <c r="C481" t="s">
        <v>323</v>
      </c>
      <c r="D481" t="s">
        <v>21</v>
      </c>
      <c r="E481" t="s">
        <v>34</v>
      </c>
      <c r="F481" t="s">
        <v>60</v>
      </c>
      <c r="G481">
        <v>1</v>
      </c>
      <c r="H481">
        <v>5850</v>
      </c>
      <c r="I481">
        <v>5</v>
      </c>
      <c r="J481">
        <v>5557.5</v>
      </c>
      <c r="K481">
        <v>4329.04</v>
      </c>
      <c r="L481">
        <v>1228.46</v>
      </c>
      <c r="M481" t="s">
        <v>24</v>
      </c>
      <c r="N481">
        <f t="shared" si="28"/>
        <v>674322.5</v>
      </c>
      <c r="O481">
        <f t="shared" si="29"/>
        <v>219114.59999999998</v>
      </c>
      <c r="P481">
        <f t="shared" si="30"/>
        <v>21</v>
      </c>
      <c r="Q481">
        <f t="shared" si="31"/>
        <v>20</v>
      </c>
    </row>
    <row r="482" spans="1:17" x14ac:dyDescent="0.25">
      <c r="A482" t="s">
        <v>681</v>
      </c>
      <c r="B482" s="3">
        <v>46097</v>
      </c>
      <c r="C482" t="s">
        <v>229</v>
      </c>
      <c r="D482" t="s">
        <v>33</v>
      </c>
      <c r="E482" t="s">
        <v>22</v>
      </c>
      <c r="F482" t="s">
        <v>95</v>
      </c>
      <c r="G482">
        <v>2</v>
      </c>
      <c r="H482">
        <v>2500</v>
      </c>
      <c r="I482">
        <v>20</v>
      </c>
      <c r="J482">
        <v>4000</v>
      </c>
      <c r="K482">
        <v>2912.17</v>
      </c>
      <c r="L482">
        <v>1087.83</v>
      </c>
      <c r="M482" t="s">
        <v>46</v>
      </c>
      <c r="N482">
        <f t="shared" si="28"/>
        <v>668765</v>
      </c>
      <c r="O482">
        <f t="shared" si="29"/>
        <v>217886.14</v>
      </c>
      <c r="P482">
        <f t="shared" si="30"/>
        <v>20</v>
      </c>
      <c r="Q482">
        <f t="shared" si="31"/>
        <v>19</v>
      </c>
    </row>
    <row r="483" spans="1:17" x14ac:dyDescent="0.25">
      <c r="A483" t="s">
        <v>682</v>
      </c>
      <c r="B483" s="3">
        <v>46044</v>
      </c>
      <c r="C483" t="s">
        <v>418</v>
      </c>
      <c r="D483" t="s">
        <v>21</v>
      </c>
      <c r="E483" t="s">
        <v>55</v>
      </c>
      <c r="F483" t="s">
        <v>56</v>
      </c>
      <c r="G483">
        <v>2</v>
      </c>
      <c r="H483">
        <v>1550</v>
      </c>
      <c r="I483">
        <v>10</v>
      </c>
      <c r="J483">
        <v>2790</v>
      </c>
      <c r="K483">
        <v>1812.8</v>
      </c>
      <c r="L483">
        <v>977.2</v>
      </c>
      <c r="M483" t="s">
        <v>30</v>
      </c>
      <c r="N483">
        <f t="shared" si="28"/>
        <v>664765</v>
      </c>
      <c r="O483">
        <f t="shared" si="29"/>
        <v>216798.31</v>
      </c>
      <c r="P483">
        <f t="shared" si="30"/>
        <v>19</v>
      </c>
      <c r="Q483">
        <f t="shared" si="31"/>
        <v>19</v>
      </c>
    </row>
    <row r="484" spans="1:17" x14ac:dyDescent="0.25">
      <c r="A484" t="s">
        <v>683</v>
      </c>
      <c r="B484" s="3">
        <v>46188</v>
      </c>
      <c r="C484" t="s">
        <v>220</v>
      </c>
      <c r="D484" t="s">
        <v>21</v>
      </c>
      <c r="E484" t="s">
        <v>22</v>
      </c>
      <c r="F484" t="s">
        <v>165</v>
      </c>
      <c r="G484">
        <v>4</v>
      </c>
      <c r="H484">
        <v>400</v>
      </c>
      <c r="I484">
        <v>0</v>
      </c>
      <c r="J484">
        <v>1600</v>
      </c>
      <c r="K484">
        <v>1303.6099999999999</v>
      </c>
      <c r="L484">
        <v>296.39</v>
      </c>
      <c r="M484" t="s">
        <v>30</v>
      </c>
      <c r="N484">
        <f t="shared" si="28"/>
        <v>661975</v>
      </c>
      <c r="O484">
        <f t="shared" si="29"/>
        <v>215821.11</v>
      </c>
      <c r="P484">
        <f t="shared" si="30"/>
        <v>18</v>
      </c>
      <c r="Q484">
        <f t="shared" si="31"/>
        <v>19</v>
      </c>
    </row>
    <row r="485" spans="1:17" x14ac:dyDescent="0.25">
      <c r="A485" t="s">
        <v>684</v>
      </c>
      <c r="B485" s="3">
        <v>46216</v>
      </c>
      <c r="C485" t="s">
        <v>126</v>
      </c>
      <c r="D485" t="s">
        <v>52</v>
      </c>
      <c r="E485" t="s">
        <v>34</v>
      </c>
      <c r="F485" t="s">
        <v>60</v>
      </c>
      <c r="G485">
        <v>5</v>
      </c>
      <c r="H485">
        <v>5050</v>
      </c>
      <c r="I485">
        <v>5</v>
      </c>
      <c r="J485">
        <v>23987.5</v>
      </c>
      <c r="K485">
        <v>15632.61</v>
      </c>
      <c r="L485">
        <v>8354.89</v>
      </c>
      <c r="M485" t="s">
        <v>46</v>
      </c>
      <c r="N485">
        <f t="shared" si="28"/>
        <v>660375</v>
      </c>
      <c r="O485">
        <f t="shared" si="29"/>
        <v>215524.72</v>
      </c>
      <c r="P485">
        <f t="shared" si="30"/>
        <v>17</v>
      </c>
      <c r="Q485">
        <f t="shared" si="31"/>
        <v>18</v>
      </c>
    </row>
    <row r="486" spans="1:17" x14ac:dyDescent="0.25">
      <c r="A486" t="s">
        <v>685</v>
      </c>
      <c r="B486" s="3">
        <v>46199</v>
      </c>
      <c r="C486" t="s">
        <v>99</v>
      </c>
      <c r="D486" t="s">
        <v>59</v>
      </c>
      <c r="E486" t="s">
        <v>28</v>
      </c>
      <c r="F486" t="s">
        <v>41</v>
      </c>
      <c r="G486">
        <v>4</v>
      </c>
      <c r="H486">
        <v>600</v>
      </c>
      <c r="I486">
        <v>20</v>
      </c>
      <c r="J486">
        <v>1920</v>
      </c>
      <c r="K486">
        <v>1266.3900000000001</v>
      </c>
      <c r="L486">
        <v>653.61</v>
      </c>
      <c r="M486" t="s">
        <v>18</v>
      </c>
      <c r="N486">
        <f t="shared" si="28"/>
        <v>636387.5</v>
      </c>
      <c r="O486">
        <f t="shared" si="29"/>
        <v>207169.83000000002</v>
      </c>
      <c r="P486">
        <f t="shared" si="30"/>
        <v>16</v>
      </c>
      <c r="Q486">
        <f t="shared" si="31"/>
        <v>17</v>
      </c>
    </row>
    <row r="487" spans="1:17" x14ac:dyDescent="0.25">
      <c r="A487" t="s">
        <v>686</v>
      </c>
      <c r="B487" s="3">
        <v>46286</v>
      </c>
      <c r="C487" t="s">
        <v>131</v>
      </c>
      <c r="D487" t="s">
        <v>80</v>
      </c>
      <c r="E487" t="s">
        <v>16</v>
      </c>
      <c r="F487" t="s">
        <v>240</v>
      </c>
      <c r="G487">
        <v>2</v>
      </c>
      <c r="H487">
        <v>58850</v>
      </c>
      <c r="I487">
        <v>5</v>
      </c>
      <c r="J487">
        <v>111815</v>
      </c>
      <c r="K487">
        <v>68441.679999999993</v>
      </c>
      <c r="L487">
        <v>43373.32</v>
      </c>
      <c r="M487" t="s">
        <v>24</v>
      </c>
      <c r="N487">
        <f t="shared" si="28"/>
        <v>634467.5</v>
      </c>
      <c r="O487">
        <f t="shared" si="29"/>
        <v>206516.22</v>
      </c>
      <c r="P487">
        <f t="shared" si="30"/>
        <v>15</v>
      </c>
      <c r="Q487">
        <f t="shared" si="31"/>
        <v>16</v>
      </c>
    </row>
    <row r="488" spans="1:17" x14ac:dyDescent="0.25">
      <c r="A488" t="s">
        <v>687</v>
      </c>
      <c r="B488" s="3">
        <v>46235</v>
      </c>
      <c r="C488" t="s">
        <v>238</v>
      </c>
      <c r="D488" t="s">
        <v>15</v>
      </c>
      <c r="E488" t="s">
        <v>55</v>
      </c>
      <c r="F488" t="s">
        <v>97</v>
      </c>
      <c r="G488">
        <v>3</v>
      </c>
      <c r="H488">
        <v>10350</v>
      </c>
      <c r="I488">
        <v>0</v>
      </c>
      <c r="J488">
        <v>31050</v>
      </c>
      <c r="K488">
        <v>22619.91</v>
      </c>
      <c r="L488">
        <v>8430.09</v>
      </c>
      <c r="M488" t="s">
        <v>63</v>
      </c>
      <c r="N488">
        <f t="shared" si="28"/>
        <v>522652.5</v>
      </c>
      <c r="O488">
        <f t="shared" si="29"/>
        <v>163142.9</v>
      </c>
      <c r="P488">
        <f t="shared" si="30"/>
        <v>14</v>
      </c>
      <c r="Q488">
        <f t="shared" si="31"/>
        <v>15</v>
      </c>
    </row>
    <row r="489" spans="1:17" x14ac:dyDescent="0.25">
      <c r="A489" t="s">
        <v>688</v>
      </c>
      <c r="B489" s="3">
        <v>46233</v>
      </c>
      <c r="C489" t="s">
        <v>269</v>
      </c>
      <c r="D489" t="s">
        <v>80</v>
      </c>
      <c r="E489" t="s">
        <v>22</v>
      </c>
      <c r="F489" t="s">
        <v>165</v>
      </c>
      <c r="G489">
        <v>2</v>
      </c>
      <c r="H489">
        <v>2600</v>
      </c>
      <c r="I489">
        <v>5</v>
      </c>
      <c r="J489">
        <v>4940</v>
      </c>
      <c r="K489">
        <v>3580.31</v>
      </c>
      <c r="L489">
        <v>1359.69</v>
      </c>
      <c r="M489" t="s">
        <v>46</v>
      </c>
      <c r="N489">
        <f t="shared" si="28"/>
        <v>491602.5</v>
      </c>
      <c r="O489">
        <f t="shared" si="29"/>
        <v>154712.81</v>
      </c>
      <c r="P489">
        <f t="shared" si="30"/>
        <v>13</v>
      </c>
      <c r="Q489">
        <f t="shared" si="31"/>
        <v>14</v>
      </c>
    </row>
    <row r="490" spans="1:17" x14ac:dyDescent="0.25">
      <c r="A490" t="s">
        <v>689</v>
      </c>
      <c r="B490" s="3">
        <v>46043</v>
      </c>
      <c r="C490" t="s">
        <v>530</v>
      </c>
      <c r="D490" t="s">
        <v>68</v>
      </c>
      <c r="E490" t="s">
        <v>55</v>
      </c>
      <c r="F490" t="s">
        <v>179</v>
      </c>
      <c r="G490">
        <v>5</v>
      </c>
      <c r="H490">
        <v>3150</v>
      </c>
      <c r="I490">
        <v>5</v>
      </c>
      <c r="J490">
        <v>14962.5</v>
      </c>
      <c r="K490">
        <v>10772.64</v>
      </c>
      <c r="L490">
        <v>4189.8599999999997</v>
      </c>
      <c r="M490" t="s">
        <v>46</v>
      </c>
      <c r="N490">
        <f t="shared" si="28"/>
        <v>486662.5</v>
      </c>
      <c r="O490">
        <f t="shared" si="29"/>
        <v>153353.12</v>
      </c>
      <c r="P490">
        <f t="shared" si="30"/>
        <v>12</v>
      </c>
      <c r="Q490">
        <f t="shared" si="31"/>
        <v>13</v>
      </c>
    </row>
    <row r="491" spans="1:17" x14ac:dyDescent="0.25">
      <c r="A491" t="s">
        <v>690</v>
      </c>
      <c r="B491" s="3">
        <v>46311</v>
      </c>
      <c r="C491" t="s">
        <v>172</v>
      </c>
      <c r="D491" t="s">
        <v>44</v>
      </c>
      <c r="E491" t="s">
        <v>55</v>
      </c>
      <c r="F491" t="s">
        <v>141</v>
      </c>
      <c r="G491">
        <v>2</v>
      </c>
      <c r="H491">
        <v>8950</v>
      </c>
      <c r="I491">
        <v>15</v>
      </c>
      <c r="J491">
        <v>15215</v>
      </c>
      <c r="K491">
        <v>10830.44</v>
      </c>
      <c r="L491">
        <v>4384.5600000000004</v>
      </c>
      <c r="M491" t="s">
        <v>46</v>
      </c>
      <c r="N491">
        <f t="shared" si="28"/>
        <v>471700</v>
      </c>
      <c r="O491">
        <f t="shared" si="29"/>
        <v>149163.25999999998</v>
      </c>
      <c r="P491">
        <f t="shared" si="30"/>
        <v>11</v>
      </c>
      <c r="Q491">
        <f t="shared" si="31"/>
        <v>12</v>
      </c>
    </row>
    <row r="492" spans="1:17" x14ac:dyDescent="0.25">
      <c r="A492" t="s">
        <v>691</v>
      </c>
      <c r="B492" s="3">
        <v>46233</v>
      </c>
      <c r="C492" t="s">
        <v>455</v>
      </c>
      <c r="D492" t="s">
        <v>52</v>
      </c>
      <c r="E492" t="s">
        <v>55</v>
      </c>
      <c r="F492" t="s">
        <v>56</v>
      </c>
      <c r="G492">
        <v>5</v>
      </c>
      <c r="H492">
        <v>8200</v>
      </c>
      <c r="I492">
        <v>15</v>
      </c>
      <c r="J492">
        <v>34850</v>
      </c>
      <c r="K492">
        <v>20772.45</v>
      </c>
      <c r="L492">
        <v>14077.55</v>
      </c>
      <c r="M492" t="s">
        <v>24</v>
      </c>
      <c r="N492">
        <f t="shared" si="28"/>
        <v>456485</v>
      </c>
      <c r="O492">
        <f t="shared" si="29"/>
        <v>144778.69999999998</v>
      </c>
      <c r="P492">
        <f t="shared" si="30"/>
        <v>10</v>
      </c>
      <c r="Q492">
        <f t="shared" si="31"/>
        <v>11</v>
      </c>
    </row>
    <row r="493" spans="1:17" x14ac:dyDescent="0.25">
      <c r="A493" t="s">
        <v>692</v>
      </c>
      <c r="B493" s="3">
        <v>46328</v>
      </c>
      <c r="C493" t="s">
        <v>445</v>
      </c>
      <c r="D493" t="s">
        <v>80</v>
      </c>
      <c r="E493" t="s">
        <v>28</v>
      </c>
      <c r="F493" t="s">
        <v>86</v>
      </c>
      <c r="G493">
        <v>3</v>
      </c>
      <c r="H493">
        <v>500</v>
      </c>
      <c r="I493">
        <v>10</v>
      </c>
      <c r="J493">
        <v>1350</v>
      </c>
      <c r="K493">
        <v>1078.7</v>
      </c>
      <c r="L493">
        <v>271.3</v>
      </c>
      <c r="M493" t="s">
        <v>63</v>
      </c>
      <c r="N493">
        <f t="shared" si="28"/>
        <v>421635</v>
      </c>
      <c r="O493">
        <f t="shared" si="29"/>
        <v>130701.15</v>
      </c>
      <c r="P493">
        <f t="shared" si="30"/>
        <v>9</v>
      </c>
      <c r="Q493">
        <f t="shared" si="31"/>
        <v>10</v>
      </c>
    </row>
    <row r="494" spans="1:17" x14ac:dyDescent="0.25">
      <c r="A494" t="s">
        <v>693</v>
      </c>
      <c r="B494" s="3">
        <v>46281</v>
      </c>
      <c r="C494" t="s">
        <v>143</v>
      </c>
      <c r="D494" t="s">
        <v>68</v>
      </c>
      <c r="E494" t="s">
        <v>22</v>
      </c>
      <c r="F494" t="s">
        <v>95</v>
      </c>
      <c r="G494">
        <v>1</v>
      </c>
      <c r="H494">
        <v>250</v>
      </c>
      <c r="I494">
        <v>5</v>
      </c>
      <c r="J494">
        <v>237.5</v>
      </c>
      <c r="K494">
        <v>164.14</v>
      </c>
      <c r="L494">
        <v>73.36</v>
      </c>
      <c r="M494" t="s">
        <v>18</v>
      </c>
      <c r="N494">
        <f t="shared" si="28"/>
        <v>420285</v>
      </c>
      <c r="O494">
        <f t="shared" si="29"/>
        <v>130429.84999999999</v>
      </c>
      <c r="P494">
        <f t="shared" si="30"/>
        <v>8</v>
      </c>
      <c r="Q494">
        <f t="shared" si="31"/>
        <v>9</v>
      </c>
    </row>
    <row r="495" spans="1:17" x14ac:dyDescent="0.25">
      <c r="A495" t="s">
        <v>694</v>
      </c>
      <c r="B495" s="3">
        <v>46083</v>
      </c>
      <c r="C495" t="s">
        <v>193</v>
      </c>
      <c r="D495" t="s">
        <v>59</v>
      </c>
      <c r="E495" t="s">
        <v>16</v>
      </c>
      <c r="F495" t="s">
        <v>107</v>
      </c>
      <c r="G495">
        <v>4</v>
      </c>
      <c r="H495">
        <v>6300</v>
      </c>
      <c r="I495">
        <v>20</v>
      </c>
      <c r="J495">
        <v>20160</v>
      </c>
      <c r="K495">
        <v>13827.72</v>
      </c>
      <c r="L495">
        <v>6332.28</v>
      </c>
      <c r="M495" t="s">
        <v>24</v>
      </c>
      <c r="N495">
        <f t="shared" si="28"/>
        <v>420047.5</v>
      </c>
      <c r="O495">
        <f t="shared" si="29"/>
        <v>130356.48999999999</v>
      </c>
      <c r="P495">
        <f t="shared" si="30"/>
        <v>7</v>
      </c>
      <c r="Q495">
        <f t="shared" si="31"/>
        <v>8</v>
      </c>
    </row>
    <row r="496" spans="1:17" x14ac:dyDescent="0.25">
      <c r="A496" t="s">
        <v>695</v>
      </c>
      <c r="B496" s="3">
        <v>46212</v>
      </c>
      <c r="C496" t="s">
        <v>236</v>
      </c>
      <c r="D496" t="s">
        <v>21</v>
      </c>
      <c r="E496" t="s">
        <v>28</v>
      </c>
      <c r="F496" t="s">
        <v>86</v>
      </c>
      <c r="G496">
        <v>1</v>
      </c>
      <c r="H496">
        <v>1750</v>
      </c>
      <c r="I496">
        <v>15</v>
      </c>
      <c r="J496">
        <v>1487.5</v>
      </c>
      <c r="K496">
        <v>1027.79</v>
      </c>
      <c r="L496">
        <v>459.71</v>
      </c>
      <c r="M496" t="s">
        <v>63</v>
      </c>
      <c r="N496">
        <f t="shared" si="28"/>
        <v>399887.5</v>
      </c>
      <c r="O496">
        <f t="shared" si="29"/>
        <v>124024.20999999999</v>
      </c>
      <c r="P496">
        <f t="shared" si="30"/>
        <v>6</v>
      </c>
      <c r="Q496">
        <f t="shared" si="31"/>
        <v>7</v>
      </c>
    </row>
    <row r="497" spans="1:17" x14ac:dyDescent="0.25">
      <c r="A497" t="s">
        <v>696</v>
      </c>
      <c r="B497" s="3">
        <v>46379</v>
      </c>
      <c r="C497" t="s">
        <v>217</v>
      </c>
      <c r="D497" t="s">
        <v>15</v>
      </c>
      <c r="E497" t="s">
        <v>55</v>
      </c>
      <c r="F497" t="s">
        <v>56</v>
      </c>
      <c r="G497">
        <v>4</v>
      </c>
      <c r="H497">
        <v>6250</v>
      </c>
      <c r="I497">
        <v>20</v>
      </c>
      <c r="J497">
        <v>20000</v>
      </c>
      <c r="K497">
        <v>15344.95</v>
      </c>
      <c r="L497">
        <v>4655.05</v>
      </c>
      <c r="M497" t="s">
        <v>63</v>
      </c>
      <c r="N497">
        <f t="shared" si="28"/>
        <v>398400</v>
      </c>
      <c r="O497">
        <f t="shared" si="29"/>
        <v>123564.49999999999</v>
      </c>
      <c r="P497">
        <f t="shared" si="30"/>
        <v>5</v>
      </c>
      <c r="Q497">
        <f t="shared" si="31"/>
        <v>6</v>
      </c>
    </row>
    <row r="498" spans="1:17" x14ac:dyDescent="0.25">
      <c r="A498" t="s">
        <v>697</v>
      </c>
      <c r="B498" s="3">
        <v>46301</v>
      </c>
      <c r="C498" t="s">
        <v>472</v>
      </c>
      <c r="D498" t="s">
        <v>44</v>
      </c>
      <c r="E498" t="s">
        <v>55</v>
      </c>
      <c r="F498" t="s">
        <v>141</v>
      </c>
      <c r="G498">
        <v>4</v>
      </c>
      <c r="H498">
        <v>4300</v>
      </c>
      <c r="I498">
        <v>0</v>
      </c>
      <c r="J498">
        <v>17200</v>
      </c>
      <c r="K498">
        <v>10775.49</v>
      </c>
      <c r="L498">
        <v>6424.51</v>
      </c>
      <c r="M498" t="s">
        <v>24</v>
      </c>
      <c r="N498">
        <f t="shared" si="28"/>
        <v>378400</v>
      </c>
      <c r="O498">
        <f t="shared" si="29"/>
        <v>118909.44999999998</v>
      </c>
      <c r="P498">
        <f t="shared" si="30"/>
        <v>4</v>
      </c>
      <c r="Q498">
        <f t="shared" si="31"/>
        <v>5</v>
      </c>
    </row>
    <row r="499" spans="1:17" x14ac:dyDescent="0.25">
      <c r="A499" t="s">
        <v>698</v>
      </c>
      <c r="B499" s="3">
        <v>46215</v>
      </c>
      <c r="C499" t="s">
        <v>418</v>
      </c>
      <c r="D499" t="s">
        <v>33</v>
      </c>
      <c r="E499" t="s">
        <v>16</v>
      </c>
      <c r="F499" t="s">
        <v>17</v>
      </c>
      <c r="G499">
        <v>5</v>
      </c>
      <c r="H499">
        <v>69700</v>
      </c>
      <c r="I499">
        <v>0</v>
      </c>
      <c r="J499">
        <v>348500</v>
      </c>
      <c r="K499">
        <v>240581.99</v>
      </c>
      <c r="L499">
        <v>107918.01</v>
      </c>
      <c r="M499" t="s">
        <v>63</v>
      </c>
      <c r="N499">
        <f t="shared" si="28"/>
        <v>361200</v>
      </c>
      <c r="O499">
        <f t="shared" si="29"/>
        <v>112484.93999999999</v>
      </c>
      <c r="P499">
        <f t="shared" si="30"/>
        <v>3</v>
      </c>
      <c r="Q499">
        <f t="shared" si="31"/>
        <v>4</v>
      </c>
    </row>
    <row r="500" spans="1:17" x14ac:dyDescent="0.25">
      <c r="A500" t="s">
        <v>699</v>
      </c>
      <c r="B500" s="3">
        <v>46297</v>
      </c>
      <c r="C500" t="s">
        <v>93</v>
      </c>
      <c r="D500" t="s">
        <v>52</v>
      </c>
      <c r="E500" t="s">
        <v>34</v>
      </c>
      <c r="F500" t="s">
        <v>38</v>
      </c>
      <c r="G500">
        <v>2</v>
      </c>
      <c r="H500">
        <v>3900</v>
      </c>
      <c r="I500">
        <v>20</v>
      </c>
      <c r="J500">
        <v>6240</v>
      </c>
      <c r="K500">
        <v>3859.32</v>
      </c>
      <c r="L500">
        <v>2380.6799999999998</v>
      </c>
      <c r="M500" t="s">
        <v>30</v>
      </c>
      <c r="N500">
        <f t="shared" si="28"/>
        <v>12700</v>
      </c>
      <c r="O500">
        <f t="shared" si="29"/>
        <v>4566.93</v>
      </c>
      <c r="P500">
        <f t="shared" si="30"/>
        <v>2</v>
      </c>
      <c r="Q500">
        <f t="shared" si="31"/>
        <v>3</v>
      </c>
    </row>
    <row r="501" spans="1:17" x14ac:dyDescent="0.25">
      <c r="A501" t="s">
        <v>700</v>
      </c>
      <c r="B501" s="3">
        <v>46308</v>
      </c>
      <c r="C501" t="s">
        <v>229</v>
      </c>
      <c r="D501" t="s">
        <v>68</v>
      </c>
      <c r="E501" t="s">
        <v>28</v>
      </c>
      <c r="F501" t="s">
        <v>41</v>
      </c>
      <c r="G501">
        <v>4</v>
      </c>
      <c r="H501">
        <v>1700</v>
      </c>
      <c r="I501">
        <v>5</v>
      </c>
      <c r="J501">
        <v>6460</v>
      </c>
      <c r="K501">
        <v>4273.75</v>
      </c>
      <c r="L501">
        <v>2186.25</v>
      </c>
      <c r="M501" t="s">
        <v>30</v>
      </c>
      <c r="N501">
        <f t="shared" si="28"/>
        <v>6460</v>
      </c>
      <c r="O501">
        <f t="shared" si="29"/>
        <v>2186.25</v>
      </c>
      <c r="P501">
        <f t="shared" si="30"/>
        <v>1</v>
      </c>
      <c r="Q501">
        <f t="shared" si="31"/>
        <v>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77E9-6901-41F8-A5BA-B2D6FC506096}">
  <dimension ref="B2:M45"/>
  <sheetViews>
    <sheetView tabSelected="1" topLeftCell="A44" workbookViewId="0">
      <selection activeCell="G54" sqref="G54"/>
    </sheetView>
  </sheetViews>
  <sheetFormatPr defaultRowHeight="15" x14ac:dyDescent="0.25"/>
  <cols>
    <col min="2" max="2" width="12.140625" bestFit="1" customWidth="1"/>
    <col min="5" max="5" width="13.42578125" bestFit="1" customWidth="1"/>
    <col min="8" max="8" width="14.140625" bestFit="1" customWidth="1"/>
    <col min="11" max="11" width="18" bestFit="1" customWidth="1"/>
  </cols>
  <sheetData>
    <row r="2" spans="2:13" ht="26.25" x14ac:dyDescent="0.4">
      <c r="B2" s="10" t="s">
        <v>723</v>
      </c>
      <c r="C2" s="11"/>
      <c r="D2" s="11"/>
      <c r="E2" s="11"/>
      <c r="F2" s="11"/>
      <c r="G2" s="11"/>
      <c r="H2" s="11"/>
      <c r="I2" s="11"/>
      <c r="J2" s="11"/>
      <c r="K2" s="11"/>
    </row>
    <row r="4" spans="2:13" x14ac:dyDescent="0.25">
      <c r="B4" s="12" t="s">
        <v>724</v>
      </c>
      <c r="C4" s="12"/>
      <c r="D4" s="12"/>
      <c r="E4" s="12" t="s">
        <v>725</v>
      </c>
      <c r="F4" s="12"/>
      <c r="G4" s="12"/>
      <c r="H4" s="12" t="s">
        <v>726</v>
      </c>
      <c r="I4" s="12"/>
      <c r="J4" s="12"/>
      <c r="K4" s="12" t="s">
        <v>727</v>
      </c>
      <c r="L4" s="12"/>
      <c r="M4" s="12"/>
    </row>
    <row r="5" spans="2:13" x14ac:dyDescent="0.25">
      <c r="B5" s="11">
        <f>SUM(Raw_Data!J2:J501)</f>
        <v>13713810</v>
      </c>
      <c r="C5" s="11"/>
      <c r="D5" s="11"/>
      <c r="E5" s="11">
        <f>SUM(Raw_Data!L2:L501)</f>
        <v>4266370.2499999981</v>
      </c>
      <c r="F5" s="11"/>
      <c r="G5" s="11"/>
      <c r="H5" s="11">
        <v>500</v>
      </c>
      <c r="I5" s="11"/>
      <c r="J5" s="11"/>
      <c r="K5" s="11">
        <v>143</v>
      </c>
      <c r="L5" s="11"/>
      <c r="M5" s="11"/>
    </row>
    <row r="6" spans="2:13" x14ac:dyDescent="0.2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8" spans="2:13" x14ac:dyDescent="0.25">
      <c r="E8" s="12" t="s">
        <v>728</v>
      </c>
      <c r="F8" s="11"/>
      <c r="G8" s="11"/>
      <c r="H8" s="11"/>
      <c r="I8" s="11"/>
    </row>
    <row r="10" spans="2:13" x14ac:dyDescent="0.25">
      <c r="F10" s="9"/>
    </row>
    <row r="25" spans="2:13" x14ac:dyDescent="0.25">
      <c r="B25" s="12" t="s">
        <v>729</v>
      </c>
      <c r="C25" s="11"/>
      <c r="D25" s="11"/>
      <c r="E25" s="11"/>
      <c r="J25" s="12" t="s">
        <v>730</v>
      </c>
      <c r="K25" s="11"/>
      <c r="L25" s="11"/>
      <c r="M25" s="11"/>
    </row>
    <row r="45" spans="4:9" x14ac:dyDescent="0.25">
      <c r="D45" s="11" t="s">
        <v>731</v>
      </c>
      <c r="E45" s="11"/>
      <c r="F45" s="11"/>
      <c r="G45" s="11"/>
      <c r="H45" s="11"/>
      <c r="I45" s="11"/>
    </row>
  </sheetData>
  <mergeCells count="13">
    <mergeCell ref="E8:I8"/>
    <mergeCell ref="B25:E25"/>
    <mergeCell ref="J25:M25"/>
    <mergeCell ref="D45:I45"/>
    <mergeCell ref="B2:K2"/>
    <mergeCell ref="B4:D4"/>
    <mergeCell ref="E4:G4"/>
    <mergeCell ref="E5:G6"/>
    <mergeCell ref="B5:D6"/>
    <mergeCell ref="H4:J4"/>
    <mergeCell ref="H5:J6"/>
    <mergeCell ref="K4:M4"/>
    <mergeCell ref="K5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category sales</vt:lpstr>
      <vt:lpstr>city sales</vt:lpstr>
      <vt:lpstr>product sales</vt:lpstr>
      <vt:lpstr>monthly sales</vt:lpstr>
      <vt:lpstr>Detail1</vt:lpstr>
      <vt:lpstr>payment details</vt:lpstr>
      <vt:lpstr>sum of profit</vt:lpstr>
      <vt:lpstr>Raw_Data</vt:lpstr>
      <vt:lpstr>dash_board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Ishita Aggarwal</cp:lastModifiedBy>
  <dcterms:created xsi:type="dcterms:W3CDTF">2026-09-20T08:33:45Z</dcterms:created>
  <dcterms:modified xsi:type="dcterms:W3CDTF">2026-09-24T16:53:42Z</dcterms:modified>
</cp:coreProperties>
</file>